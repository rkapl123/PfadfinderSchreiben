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ev\PfadfinderSchreiben\"/>
    </mc:Choice>
  </mc:AlternateContent>
  <xr:revisionPtr revIDLastSave="0" documentId="13_ncr:1_{EB733FAA-2BF8-46C8-B694-502058782177}" xr6:coauthVersionLast="47" xr6:coauthVersionMax="47" xr10:uidLastSave="{00000000-0000-0000-0000-000000000000}"/>
  <bookViews>
    <workbookView xWindow="-120" yWindow="-120" windowWidth="29040" windowHeight="17790" tabRatio="481" xr2:uid="{00000000-000D-0000-FFFF-FFFF00000000}"/>
  </bookViews>
  <sheets>
    <sheet name="Mailing" sheetId="1" r:id="rId1"/>
    <sheet name="Parameter" sheetId="2" r:id="rId2"/>
    <sheet name="Liste" sheetId="3" r:id="rId3"/>
    <sheet name="Beispiel" sheetId="4" state="hidden" r:id="rId4"/>
  </sheets>
  <functionGroups builtInGroupCount="19"/>
  <externalReferences>
    <externalReference r:id="rId5"/>
  </externalReferences>
  <definedNames>
    <definedName name="adresse">Parameter!$B$5</definedName>
    <definedName name="anrede">Mailing!$I$4</definedName>
    <definedName name="bodymsg">Mailing!$G$1:$G$31</definedName>
    <definedName name="ccrecipient">Mailing!$I$6</definedName>
    <definedName name="_xlnm.Print_Area" localSheetId="0">Mailing!$A$1:$D$31</definedName>
    <definedName name="einschreibsumme">[1]Brief!$F$19</definedName>
    <definedName name="exportfile">Liste!$BX$1</definedName>
    <definedName name="gitOrdner">Liste!$BV$8</definedName>
    <definedName name="GruppierenNach">Liste!$BV$5</definedName>
    <definedName name="kopfname">Parameter!$B$1</definedName>
    <definedName name="mailcmd">Mailing!$L$2</definedName>
    <definedName name="mailpwd">Mailing!$K$5</definedName>
    <definedName name="mailto">Parameter!$B$8</definedName>
    <definedName name="mailuser">Mailing!$I$5</definedName>
    <definedName name="mglbeitragsumme">[1]Brief!$F$17</definedName>
    <definedName name="recipient">Mailing!$I$3</definedName>
    <definedName name="regsumme">[1]Brief!$F$18</definedName>
    <definedName name="subject">Mailing!$J$8</definedName>
    <definedName name="testmail">Mailing!$J$7</definedName>
    <definedName name="www">Parameter!$B$7</definedName>
    <definedName name="zeilenindex">Mailing!$I$1</definedName>
    <definedName name="zustext">Mailing!$L$1</definedName>
    <definedName name="zvrzahl">Parameter!$B$6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9" i="1" l="1"/>
  <c r="A1" i="1" l="1"/>
  <c r="A8" i="1"/>
  <c r="G2" i="1" l="1"/>
  <c r="G4" i="1"/>
  <c r="G7" i="1"/>
  <c r="G9" i="1"/>
  <c r="G10" i="1"/>
  <c r="G29" i="1"/>
  <c r="G30" i="1"/>
  <c r="A6" i="1"/>
  <c r="G6" i="1" s="1"/>
  <c r="A5" i="1"/>
  <c r="G5" i="1" s="1"/>
  <c r="J8" i="1"/>
  <c r="G1" i="1"/>
  <c r="E28" i="1"/>
  <c r="D28" i="1"/>
  <c r="C28" i="1"/>
  <c r="B28" i="1"/>
  <c r="E27" i="1"/>
  <c r="D27" i="1"/>
  <c r="C27" i="1"/>
  <c r="B27" i="1"/>
  <c r="E26" i="1"/>
  <c r="D26" i="1"/>
  <c r="C26" i="1"/>
  <c r="B26" i="1"/>
  <c r="E25" i="1"/>
  <c r="D25" i="1"/>
  <c r="C25" i="1"/>
  <c r="B25" i="1"/>
  <c r="E24" i="1"/>
  <c r="D24" i="1"/>
  <c r="C24" i="1"/>
  <c r="B24" i="1"/>
  <c r="E23" i="1"/>
  <c r="D23" i="1"/>
  <c r="C23" i="1"/>
  <c r="B23" i="1"/>
  <c r="E22" i="1"/>
  <c r="D22" i="1"/>
  <c r="C22" i="1"/>
  <c r="B22" i="1"/>
  <c r="E21" i="1"/>
  <c r="D21" i="1"/>
  <c r="C21" i="1"/>
  <c r="B21" i="1"/>
  <c r="E20" i="1"/>
  <c r="D20" i="1"/>
  <c r="C20" i="1"/>
  <c r="B20" i="1"/>
  <c r="E19" i="1"/>
  <c r="D19" i="1"/>
  <c r="C19" i="1"/>
  <c r="B19" i="1"/>
  <c r="E18" i="1"/>
  <c r="D18" i="1"/>
  <c r="C18" i="1"/>
  <c r="B18" i="1"/>
  <c r="E17" i="1"/>
  <c r="D17" i="1"/>
  <c r="C17" i="1"/>
  <c r="B17" i="1"/>
  <c r="E16" i="1"/>
  <c r="D16" i="1"/>
  <c r="C16" i="1"/>
  <c r="B16" i="1"/>
  <c r="E15" i="1"/>
  <c r="D15" i="1"/>
  <c r="C15" i="1"/>
  <c r="B15" i="1"/>
  <c r="E14" i="1"/>
  <c r="D14" i="1"/>
  <c r="C14" i="1"/>
  <c r="B14" i="1"/>
  <c r="E13" i="1"/>
  <c r="D13" i="1"/>
  <c r="C13" i="1"/>
  <c r="B13" i="1"/>
  <c r="E12" i="1"/>
  <c r="D12" i="1"/>
  <c r="C12" i="1"/>
  <c r="B12" i="1"/>
  <c r="J14" i="1"/>
  <c r="K14" i="1"/>
  <c r="L14" i="1"/>
  <c r="M14" i="1"/>
  <c r="J15" i="1"/>
  <c r="K15" i="1"/>
  <c r="L15" i="1"/>
  <c r="M15" i="1"/>
  <c r="J16" i="1"/>
  <c r="K16" i="1"/>
  <c r="L16" i="1"/>
  <c r="M16" i="1"/>
  <c r="J17" i="1"/>
  <c r="K17" i="1"/>
  <c r="L17" i="1"/>
  <c r="M17" i="1"/>
  <c r="J18" i="1"/>
  <c r="K18" i="1"/>
  <c r="L18" i="1"/>
  <c r="M18" i="1"/>
  <c r="J19" i="1"/>
  <c r="K19" i="1"/>
  <c r="L19" i="1"/>
  <c r="M19" i="1"/>
  <c r="J20" i="1"/>
  <c r="K20" i="1"/>
  <c r="L20" i="1"/>
  <c r="M20" i="1"/>
  <c r="J21" i="1"/>
  <c r="K21" i="1"/>
  <c r="L21" i="1"/>
  <c r="M21" i="1"/>
  <c r="J22" i="1"/>
  <c r="K22" i="1"/>
  <c r="L22" i="1"/>
  <c r="M22" i="1"/>
  <c r="J23" i="1"/>
  <c r="K23" i="1"/>
  <c r="L23" i="1"/>
  <c r="M23" i="1"/>
  <c r="J24" i="1"/>
  <c r="K24" i="1"/>
  <c r="L24" i="1"/>
  <c r="M24" i="1"/>
  <c r="J25" i="1"/>
  <c r="K25" i="1"/>
  <c r="L25" i="1"/>
  <c r="M25" i="1"/>
  <c r="J26" i="1"/>
  <c r="K26" i="1"/>
  <c r="L26" i="1"/>
  <c r="M26" i="1"/>
  <c r="J27" i="1"/>
  <c r="K27" i="1"/>
  <c r="L27" i="1"/>
  <c r="M27" i="1"/>
  <c r="J28" i="1"/>
  <c r="K28" i="1"/>
  <c r="L28" i="1"/>
  <c r="M28" i="1"/>
  <c r="J29" i="1"/>
  <c r="K29" i="1"/>
  <c r="L29" i="1"/>
  <c r="M29" i="1"/>
  <c r="K13" i="1"/>
  <c r="L13" i="1"/>
  <c r="M13" i="1"/>
  <c r="J13" i="1"/>
  <c r="G12" i="1" l="1"/>
  <c r="G15" i="1"/>
  <c r="G18" i="1"/>
  <c r="G20" i="1"/>
  <c r="G23" i="1"/>
  <c r="G26" i="1"/>
  <c r="G27" i="1"/>
  <c r="G28" i="1"/>
  <c r="G14" i="1"/>
  <c r="G16" i="1"/>
  <c r="G19" i="1"/>
  <c r="G22" i="1"/>
  <c r="G24" i="1"/>
  <c r="G13" i="1"/>
  <c r="G17" i="1"/>
  <c r="G21" i="1"/>
  <c r="G25" i="1"/>
  <c r="G8" i="1"/>
  <c r="E11" i="1"/>
  <c r="D11" i="1"/>
  <c r="C11" i="1"/>
  <c r="I9" i="1"/>
  <c r="G11" i="1" l="1"/>
  <c r="I3" i="1"/>
  <c r="A31" i="1" l="1"/>
  <c r="G31" i="1" s="1"/>
  <c r="I4" i="1"/>
  <c r="A3" i="1" l="1"/>
  <c r="G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roland kapl</author>
  </authors>
  <commentList>
    <comment ref="I5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leer lassen für interaktive Erstellung des Mails mit Outlook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<sst xmlns="http://schemas.openxmlformats.org/spreadsheetml/2006/main" count="344" uniqueCount="154">
  <si>
    <t>Pfadfinderkonto:</t>
  </si>
  <si>
    <t>lautend auf:</t>
  </si>
  <si>
    <t>Name</t>
  </si>
  <si>
    <t>Anrede</t>
  </si>
  <si>
    <t>Familie</t>
  </si>
  <si>
    <t>Herr</t>
  </si>
  <si>
    <t>Bank:</t>
  </si>
  <si>
    <t>Vorname2</t>
  </si>
  <si>
    <t>Vorname3</t>
  </si>
  <si>
    <t>Vorname4</t>
  </si>
  <si>
    <t>Frau</t>
  </si>
  <si>
    <t>Nein</t>
  </si>
  <si>
    <t>Adresse:</t>
  </si>
  <si>
    <t>ZVR Zahl:</t>
  </si>
  <si>
    <t>www:</t>
  </si>
  <si>
    <t>Kopfname:</t>
  </si>
  <si>
    <t>C:\dev\PfadfinderSchreiben</t>
  </si>
  <si>
    <t>Muster</t>
  </si>
  <si>
    <t>Mustermann</t>
  </si>
  <si>
    <t>Musterfrau</t>
  </si>
  <si>
    <t>AT12345600000987654</t>
  </si>
  <si>
    <t>PPÖ Pfadfindergruppe Musterhausen</t>
  </si>
  <si>
    <t>Musterhausenbank</t>
  </si>
  <si>
    <t>9999 Musterhausen, Beispielplatz 1</t>
  </si>
  <si>
    <t>pfadfinder-musterhausen.at</t>
  </si>
  <si>
    <t>Gruppierung beim Export nach:</t>
  </si>
  <si>
    <t>Max</t>
  </si>
  <si>
    <t>Erika</t>
  </si>
  <si>
    <t>Krethi</t>
  </si>
  <si>
    <t>Plethi</t>
  </si>
  <si>
    <t>Hinz</t>
  </si>
  <si>
    <t>Kunz</t>
  </si>
  <si>
    <t>Normalverbraucher</t>
  </si>
  <si>
    <t>Otto</t>
  </si>
  <si>
    <t>Möglich</t>
  </si>
  <si>
    <t>Strasse/Plz</t>
  </si>
  <si>
    <t>Email</t>
  </si>
  <si>
    <t>Telefon</t>
  </si>
  <si>
    <t>0999/999999999</t>
  </si>
  <si>
    <t>0111/111111111</t>
  </si>
  <si>
    <t>0222/222222222</t>
  </si>
  <si>
    <t>0333/333333333</t>
  </si>
  <si>
    <t>0444/444444444</t>
  </si>
  <si>
    <t>hinzkunz@muster.nix</t>
  </si>
  <si>
    <t>max@mustermann.nix</t>
  </si>
  <si>
    <t>erika@musterfrau.nix</t>
  </si>
  <si>
    <t>otto@normalverbraucher.nix</t>
  </si>
  <si>
    <t>krethiplethi@moeglich.nix</t>
  </si>
  <si>
    <t>Senderkonto passwort</t>
  </si>
  <si>
    <t>Gruppenname:</t>
  </si>
  <si>
    <t>Testmail:</t>
  </si>
  <si>
    <t>GAB-Person-Export_2019-05-12.xls</t>
  </si>
  <si>
    <t>Gruppe Musterhausen</t>
  </si>
  <si>
    <t>Senderkonto@gmail.com</t>
  </si>
  <si>
    <t>CC Empfängeradresse</t>
  </si>
  <si>
    <t>Email2</t>
  </si>
  <si>
    <t>Telefon2</t>
  </si>
  <si>
    <t>Telefon3</t>
  </si>
  <si>
    <t>Strasse</t>
  </si>
  <si>
    <t>Plz</t>
  </si>
  <si>
    <t>Ort</t>
  </si>
  <si>
    <t>NFName</t>
  </si>
  <si>
    <t>NFStrasse</t>
  </si>
  <si>
    <t>NFPlzOrt</t>
  </si>
  <si>
    <t>NFTelefon</t>
  </si>
  <si>
    <t>NFEMail</t>
  </si>
  <si>
    <t>EBName</t>
  </si>
  <si>
    <t>EBStrasse</t>
  </si>
  <si>
    <t>EBPlzOrt</t>
  </si>
  <si>
    <t>EBTelefon</t>
  </si>
  <si>
    <t>EBEMail</t>
  </si>
  <si>
    <t>EBTelefon2</t>
  </si>
  <si>
    <t>EBEMail2</t>
  </si>
  <si>
    <t>Nachname2</t>
  </si>
  <si>
    <t>Strasse2</t>
  </si>
  <si>
    <t>Plz2</t>
  </si>
  <si>
    <t>Ort2</t>
  </si>
  <si>
    <t>NFName2</t>
  </si>
  <si>
    <t>NFStrasse2</t>
  </si>
  <si>
    <t>NFPlzOrt2</t>
  </si>
  <si>
    <t>NFTelefon2</t>
  </si>
  <si>
    <t>NFEMail2</t>
  </si>
  <si>
    <t>EBName2</t>
  </si>
  <si>
    <t>EBStrasse2</t>
  </si>
  <si>
    <t>EBPlzOrt2</t>
  </si>
  <si>
    <t>EBTelefon3</t>
  </si>
  <si>
    <t>EBEMail3</t>
  </si>
  <si>
    <t>Vorname</t>
  </si>
  <si>
    <t>Nachname</t>
  </si>
  <si>
    <t>Email3</t>
  </si>
  <si>
    <t>Nachname3</t>
  </si>
  <si>
    <t>Strasse3</t>
  </si>
  <si>
    <t>Plz3</t>
  </si>
  <si>
    <t>Ort3</t>
  </si>
  <si>
    <t>NFName3</t>
  </si>
  <si>
    <t>NFStrasse3</t>
  </si>
  <si>
    <t>NFPlzOrt3</t>
  </si>
  <si>
    <t>NFTelefon3</t>
  </si>
  <si>
    <t>NFEMail3</t>
  </si>
  <si>
    <t>EBName3</t>
  </si>
  <si>
    <t>EBStrasse3</t>
  </si>
  <si>
    <t>EBPlzOrt3</t>
  </si>
  <si>
    <t>EBTelefon4</t>
  </si>
  <si>
    <t>EBEMail4</t>
  </si>
  <si>
    <t>Nachname4</t>
  </si>
  <si>
    <t>Strasse4</t>
  </si>
  <si>
    <t>Plz4</t>
  </si>
  <si>
    <t>Ort4</t>
  </si>
  <si>
    <t>Telefon4</t>
  </si>
  <si>
    <t>Email4</t>
  </si>
  <si>
    <t>NFName4</t>
  </si>
  <si>
    <t>NFStrasse4</t>
  </si>
  <si>
    <t>NFPlzOrt4</t>
  </si>
  <si>
    <t>NFTelefon4</t>
  </si>
  <si>
    <t>NFEMail4</t>
  </si>
  <si>
    <t>EBName4</t>
  </si>
  <si>
    <t>EBStrasse4</t>
  </si>
  <si>
    <t>EBPlzOrt4</t>
  </si>
  <si>
    <t>Emailgesamt</t>
  </si>
  <si>
    <t>Vielen Dank für die Mithilfe und Gut Pfad,</t>
  </si>
  <si>
    <t>AnzKinder</t>
  </si>
  <si>
    <t>Mitglied 1:</t>
  </si>
  <si>
    <t>1.Erz.Ber. Name</t>
  </si>
  <si>
    <t>1.Erz.Ber. Strasse</t>
  </si>
  <si>
    <t>1.Erz.Ber. PlzOrt</t>
  </si>
  <si>
    <t>1.Erz.Ber. Telefon</t>
  </si>
  <si>
    <t>1.Erz.Ber. EMail</t>
  </si>
  <si>
    <t>2.Erz.Ber. Name</t>
  </si>
  <si>
    <t>2.Erz.Ber. Strasse</t>
  </si>
  <si>
    <t>2.Erz.Ber. PlzOrt</t>
  </si>
  <si>
    <t>2.Erz.Ber. Telefon</t>
  </si>
  <si>
    <t>2.Erz.Ber. EMail</t>
  </si>
  <si>
    <t>Zur einfacheren Herstellung der Mitgliederverweise links (fertige Formeln als Wert rüberkopieren und dann "=" ersetzen)…</t>
  </si>
  <si>
    <t>Musterstrasse 8/15</t>
  </si>
  <si>
    <t xml:space="preserve"> Musterhausen</t>
  </si>
  <si>
    <t>Mustergasse 1/2</t>
  </si>
  <si>
    <t>Musterplatz 1</t>
  </si>
  <si>
    <t>Musterallee 7</t>
  </si>
  <si>
    <t>Musterhof 9</t>
  </si>
  <si>
    <t>Mama</t>
  </si>
  <si>
    <t>4711 Musterhausen</t>
  </si>
  <si>
    <t>0999/898989898</t>
  </si>
  <si>
    <t>0333/123123123</t>
  </si>
  <si>
    <t>Papa</t>
  </si>
  <si>
    <t>hinzkunzpapa@muster.nix</t>
  </si>
  <si>
    <t>krethiplethipapa@moeglich.nix</t>
  </si>
  <si>
    <t>krethi@moeglich.nix</t>
  </si>
  <si>
    <t>hinz@muster.nix</t>
  </si>
  <si>
    <t>kunz@muster.nix</t>
  </si>
  <si>
    <t>plethi@moeglich.nix</t>
  </si>
  <si>
    <t>Mitglieder:</t>
  </si>
  <si>
    <t>subject:</t>
  </si>
  <si>
    <t>mailto:</t>
  </si>
  <si>
    <t>registrierung@pfadfinder-musterhausen.at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</si>
</sst>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indexed="81"/>
      <name val="Segoe UI"/>
      <family val="2"/>
    </font>
    <font>
      <sz val="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Segoe UI"/>
      <family val="2"/>
    </font>
    <font>
      <sz val="8"/>
      <name val="Calibri"/>
      <family val="2"/>
      <scheme val="minor"/>
    </font>
    <font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0" fontId="0" fillId="0" borderId="0" xfId="0" quotePrefix="1"/>
    <xf numFmtId="0" fontId="2" fillId="0" borderId="0" xfId="0" applyFont="1"/>
    <xf numFmtId="0" fontId="0" fillId="2" borderId="0" xfId="0" applyFill="1"/>
    <xf numFmtId="0" fontId="3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3" borderId="4" xfId="0" applyFill="1" applyBorder="1"/>
    <xf numFmtId="0" fontId="0" fillId="3" borderId="5" xfId="0" applyFill="1" applyBorder="1"/>
    <xf numFmtId="0" fontId="0" fillId="3" borderId="7" xfId="0" applyFill="1" applyBorder="1"/>
    <xf numFmtId="0" fontId="0" fillId="3" borderId="8" xfId="0" applyFill="1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4" fillId="0" borderId="0" xfId="0" applyFont="1"/>
    <xf numFmtId="0" fontId="0" fillId="0" borderId="0" xfId="0" applyAlignment="1">
      <alignment horizontal="left"/>
    </xf>
    <xf numFmtId="0" fontId="0" fillId="3" borderId="0" xfId="0" applyFill="1"/>
    <xf numFmtId="0" fontId="0" fillId="3" borderId="3" xfId="0" applyFill="1" applyBorder="1"/>
    <xf numFmtId="0" fontId="6" fillId="0" borderId="0" xfId="0" applyFont="1" applyAlignment="1">
      <alignment wrapText="1"/>
    </xf>
    <xf numFmtId="0" fontId="7" fillId="4" borderId="5" xfId="0" applyFont="1" applyFill="1" applyBorder="1"/>
    <xf numFmtId="0" fontId="7" fillId="4" borderId="10" xfId="0" applyFont="1" applyFill="1" applyBorder="1"/>
    <xf numFmtId="0" fontId="7" fillId="4" borderId="6" xfId="0" applyFont="1" applyFill="1" applyBorder="1"/>
    <xf numFmtId="0" fontId="0" fillId="5" borderId="0" xfId="0" applyFill="1"/>
    <xf numFmtId="0" fontId="10" fillId="2" borderId="9" xfId="0" applyFont="1" applyFill="1" applyBorder="1" applyAlignment="1">
      <alignment wrapText="1"/>
    </xf>
  </cellXfs>
  <cellStyles count="1">
    <cellStyle name="Standard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714375</xdr:colOff>
          <xdr:row>1</xdr:row>
          <xdr:rowOff>28575</xdr:rowOff>
        </xdr:from>
        <xdr:to>
          <xdr:col>9</xdr:col>
          <xdr:colOff>352425</xdr:colOff>
          <xdr:row>1</xdr:row>
          <xdr:rowOff>314325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142875</xdr:colOff>
          <xdr:row>1</xdr:row>
          <xdr:rowOff>28575</xdr:rowOff>
        </xdr:from>
        <xdr:to>
          <xdr:col>8</xdr:col>
          <xdr:colOff>647700</xdr:colOff>
          <xdr:row>1</xdr:row>
          <xdr:rowOff>314325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zurück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1</xdr:row>
          <xdr:rowOff>342900</xdr:rowOff>
        </xdr:from>
        <xdr:to>
          <xdr:col>9</xdr:col>
          <xdr:colOff>333375</xdr:colOff>
          <xdr:row>1</xdr:row>
          <xdr:rowOff>628650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Mail &amp; vor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73</xdr:col>
          <xdr:colOff>9525</xdr:colOff>
          <xdr:row>0</xdr:row>
          <xdr:rowOff>0</xdr:rowOff>
        </xdr:from>
        <xdr:to>
          <xdr:col>75</xdr:col>
          <xdr:colOff>28575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iGrins Exportdatei übernehmen: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73</xdr:col>
          <xdr:colOff>0</xdr:colOff>
          <xdr:row>5</xdr:row>
          <xdr:rowOff>161925</xdr:rowOff>
        </xdr:from>
        <xdr:to>
          <xdr:col>75</xdr:col>
          <xdr:colOff>142875</xdr:colOff>
          <xdr:row>6</xdr:row>
          <xdr:rowOff>161925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Schreiben in github Ordner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chreibe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rief"/>
      <sheetName val="Parameter"/>
      <sheetName val="Liste"/>
      <sheetName val="Beispiel"/>
    </sheetNames>
    <sheetDataSet>
      <sheetData sheetId="0">
        <row r="17">
          <cell r="F17">
            <v>0</v>
          </cell>
        </row>
        <row r="18">
          <cell r="F18">
            <v>28</v>
          </cell>
        </row>
        <row r="19">
          <cell r="F19">
            <v>0</v>
          </cell>
        </row>
      </sheetData>
      <sheetData sheetId="1" refreshError="1"/>
      <sheetData sheetId="2" refreshError="1"/>
      <sheetData sheetId="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Liste" displayName="Liste" ref="A1:BT81" totalsRowShown="0">
  <sortState xmlns:xlrd2="http://schemas.microsoft.com/office/spreadsheetml/2017/richdata2" ref="A2:BT70">
    <sortCondition ref="B2"/>
  </sortState>
  <tableColumns count="72">
    <tableColumn id="1" xr3:uid="{00000000-0010-0000-0000-000001000000}" name="Anrede"/>
    <tableColumn id="2" xr3:uid="{00000000-0010-0000-0000-000002000000}" name="Name"/>
    <tableColumn id="23" xr3:uid="{00000000-0010-0000-0000-000017000000}" name="Emailgesamt"/>
    <tableColumn id="85" xr3:uid="{00000000-0010-0000-0000-000055000000}" name="AnzKinder"/>
    <tableColumn id="3" xr3:uid="{00000000-0010-0000-0000-000003000000}" name="Vorname"/>
    <tableColumn id="4" xr3:uid="{00000000-0010-0000-0000-000004000000}" name="Nachname"/>
    <tableColumn id="5" xr3:uid="{00000000-0010-0000-0000-000005000000}" name="Strasse"/>
    <tableColumn id="6" xr3:uid="{00000000-0010-0000-0000-000006000000}" name="Plz"/>
    <tableColumn id="8" xr3:uid="{00000000-0010-0000-0000-000008000000}" name="Ort"/>
    <tableColumn id="7" xr3:uid="{00000000-0010-0000-0000-000007000000}" name="Telefon"/>
    <tableColumn id="33" xr3:uid="{00000000-0010-0000-0000-000021000000}" name="Email"/>
    <tableColumn id="32" xr3:uid="{00000000-0010-0000-0000-000020000000}" name="NFName"/>
    <tableColumn id="31" xr3:uid="{00000000-0010-0000-0000-00001F000000}" name="NFStrasse"/>
    <tableColumn id="30" xr3:uid="{00000000-0010-0000-0000-00001E000000}" name="NFPlzOrt"/>
    <tableColumn id="29" xr3:uid="{00000000-0010-0000-0000-00001D000000}" name="NFTelefon"/>
    <tableColumn id="28" xr3:uid="{00000000-0010-0000-0000-00001C000000}" name="NFEMail"/>
    <tableColumn id="27" xr3:uid="{00000000-0010-0000-0000-00001B000000}" name="EBName"/>
    <tableColumn id="26" xr3:uid="{00000000-0010-0000-0000-00001A000000}" name="EBStrasse"/>
    <tableColumn id="25" xr3:uid="{00000000-0010-0000-0000-000019000000}" name="EBPlzOrt"/>
    <tableColumn id="24" xr3:uid="{00000000-0010-0000-0000-000018000000}" name="EBTelefon"/>
    <tableColumn id="34" xr3:uid="{00000000-0010-0000-0000-000022000000}" name="EBEMail"/>
    <tableColumn id="49" xr3:uid="{00000000-0010-0000-0000-000031000000}" name="Vorname2"/>
    <tableColumn id="48" xr3:uid="{00000000-0010-0000-0000-000030000000}" name="Nachname2"/>
    <tableColumn id="47" xr3:uid="{00000000-0010-0000-0000-00002F000000}" name="Strasse2"/>
    <tableColumn id="46" xr3:uid="{00000000-0010-0000-0000-00002E000000}" name="Plz2"/>
    <tableColumn id="45" xr3:uid="{00000000-0010-0000-0000-00002D000000}" name="Ort2"/>
    <tableColumn id="44" xr3:uid="{00000000-0010-0000-0000-00002C000000}" name="Telefon2"/>
    <tableColumn id="43" xr3:uid="{00000000-0010-0000-0000-00002B000000}" name="Email2"/>
    <tableColumn id="42" xr3:uid="{00000000-0010-0000-0000-00002A000000}" name="NFName2"/>
    <tableColumn id="41" xr3:uid="{00000000-0010-0000-0000-000029000000}" name="NFStrasse2"/>
    <tableColumn id="40" xr3:uid="{00000000-0010-0000-0000-000028000000}" name="NFPlzOrt2"/>
    <tableColumn id="39" xr3:uid="{00000000-0010-0000-0000-000027000000}" name="NFTelefon2"/>
    <tableColumn id="38" xr3:uid="{00000000-0010-0000-0000-000026000000}" name="NFEMail2"/>
    <tableColumn id="37" xr3:uid="{00000000-0010-0000-0000-000025000000}" name="EBName2"/>
    <tableColumn id="36" xr3:uid="{00000000-0010-0000-0000-000024000000}" name="EBStrasse2"/>
    <tableColumn id="35" xr3:uid="{00000000-0010-0000-0000-000023000000}" name="EBPlzOrt2"/>
    <tableColumn id="50" xr3:uid="{00000000-0010-0000-0000-000032000000}" name="EBTelefon2"/>
    <tableColumn id="51" xr3:uid="{00000000-0010-0000-0000-000033000000}" name="EBEMail2"/>
    <tableColumn id="67" xr3:uid="{00000000-0010-0000-0000-000043000000}" name="Vorname3"/>
    <tableColumn id="66" xr3:uid="{00000000-0010-0000-0000-000042000000}" name="Nachname3"/>
    <tableColumn id="65" xr3:uid="{00000000-0010-0000-0000-000041000000}" name="Strasse3"/>
    <tableColumn id="64" xr3:uid="{00000000-0010-0000-0000-000040000000}" name="Plz3"/>
    <tableColumn id="63" xr3:uid="{00000000-0010-0000-0000-00003F000000}" name="Ort3"/>
    <tableColumn id="62" xr3:uid="{00000000-0010-0000-0000-00003E000000}" name="Telefon3"/>
    <tableColumn id="61" xr3:uid="{00000000-0010-0000-0000-00003D000000}" name="Email3"/>
    <tableColumn id="60" xr3:uid="{00000000-0010-0000-0000-00003C000000}" name="NFName3"/>
    <tableColumn id="59" xr3:uid="{00000000-0010-0000-0000-00003B000000}" name="NFStrasse3"/>
    <tableColumn id="58" xr3:uid="{00000000-0010-0000-0000-00003A000000}" name="NFPlzOrt3"/>
    <tableColumn id="57" xr3:uid="{00000000-0010-0000-0000-000039000000}" name="NFTelefon3"/>
    <tableColumn id="56" xr3:uid="{00000000-0010-0000-0000-000038000000}" name="NFEMail3"/>
    <tableColumn id="55" xr3:uid="{00000000-0010-0000-0000-000037000000}" name="EBName3"/>
    <tableColumn id="54" xr3:uid="{00000000-0010-0000-0000-000036000000}" name="EBStrasse3"/>
    <tableColumn id="53" xr3:uid="{00000000-0010-0000-0000-000035000000}" name="EBPlzOrt3"/>
    <tableColumn id="52" xr3:uid="{00000000-0010-0000-0000-000034000000}" name="EBTelefon3"/>
    <tableColumn id="68" xr3:uid="{00000000-0010-0000-0000-000044000000}" name="EBEMail3"/>
    <tableColumn id="84" xr3:uid="{00000000-0010-0000-0000-000054000000}" name="Vorname4"/>
    <tableColumn id="83" xr3:uid="{00000000-0010-0000-0000-000053000000}" name="Nachname4"/>
    <tableColumn id="82" xr3:uid="{00000000-0010-0000-0000-000052000000}" name="Strasse4"/>
    <tableColumn id="81" xr3:uid="{00000000-0010-0000-0000-000051000000}" name="Plz4"/>
    <tableColumn id="80" xr3:uid="{00000000-0010-0000-0000-000050000000}" name="Ort4"/>
    <tableColumn id="79" xr3:uid="{00000000-0010-0000-0000-00004F000000}" name="Telefon4"/>
    <tableColumn id="78" xr3:uid="{00000000-0010-0000-0000-00004E000000}" name="Email4"/>
    <tableColumn id="77" xr3:uid="{00000000-0010-0000-0000-00004D000000}" name="NFName4"/>
    <tableColumn id="76" xr3:uid="{00000000-0010-0000-0000-00004C000000}" name="NFStrasse4"/>
    <tableColumn id="75" xr3:uid="{00000000-0010-0000-0000-00004B000000}" name="NFPlzOrt4"/>
    <tableColumn id="74" xr3:uid="{00000000-0010-0000-0000-00004A000000}" name="NFTelefon4"/>
    <tableColumn id="73" xr3:uid="{00000000-0010-0000-0000-000049000000}" name="NFEMail4"/>
    <tableColumn id="72" xr3:uid="{00000000-0010-0000-0000-000048000000}" name="EBName4"/>
    <tableColumn id="71" xr3:uid="{00000000-0010-0000-0000-000047000000}" name="EBStrasse4"/>
    <tableColumn id="70" xr3:uid="{00000000-0010-0000-0000-000046000000}" name="EBPlzOrt4"/>
    <tableColumn id="69" xr3:uid="{00000000-0010-0000-0000-000045000000}" name="EBTelefon4"/>
    <tableColumn id="22" xr3:uid="{00000000-0010-0000-0000-000016000000}" name="EBEMail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N31"/>
  <sheetViews>
    <sheetView tabSelected="1" zoomScale="85" zoomScaleNormal="85" zoomScaleSheetLayoutView="85" workbookViewId="0">
      <selection activeCell="A10" sqref="A10"/>
    </sheetView>
  </sheetViews>
  <sheetFormatPr baseColWidth="10" defaultRowHeight="15" x14ac:dyDescent="0.25"/>
  <cols>
    <col min="1" max="1" width="18" customWidth="1"/>
    <col min="2" max="2" width="13.7109375" customWidth="1"/>
    <col min="3" max="3" width="13.42578125" customWidth="1"/>
    <col min="4" max="4" width="14.42578125" customWidth="1"/>
    <col min="5" max="5" width="15.5703125" customWidth="1"/>
    <col min="6" max="6" width="30.42578125" customWidth="1"/>
    <col min="7" max="7" width="4.140625" customWidth="1"/>
    <col min="8" max="8" width="11.5703125" customWidth="1"/>
    <col min="9" max="9" width="14.140625" customWidth="1"/>
    <col min="10" max="10" width="25.7109375" customWidth="1"/>
    <col min="11" max="11" width="11" customWidth="1"/>
    <col min="12" max="12" width="10.85546875" customWidth="1"/>
  </cols>
  <sheetData>
    <row r="1" spans="1:14" ht="31.5" customHeight="1" x14ac:dyDescent="0.25">
      <c r="A1" s="4" t="str">
        <f>"Pfadfinder "&amp;kopfname&amp;", ZVR: "&amp;zvrzahl</f>
        <v>Pfadfinder Gruppe Musterhausen, ZVR: 123456789</v>
      </c>
      <c r="B1" s="2"/>
      <c r="G1" t="str">
        <f>IF(ROW(A1)=1,"&lt;style&gt;table, th, td {  border: 1px solid black;  border-collapse: collapse;} th, td { padding: 5px;} th {text-align: left;} &lt;/style&gt;"&amp;A1&amp;"&lt;br&gt;",IF(B1&lt;&gt;"",IF(A1="Mitglieder:","&lt;table&gt;&lt;tr&gt;&lt;th&gt;&lt;/th&gt;&lt;th&gt;"&amp;B1&amp;"&lt;/th&gt;"&amp;IF(C1&lt;&gt;"","&lt;th&gt;"&amp;C1&amp;"&lt;/th&gt;","")&amp;IF(D1&lt;&gt;"","&lt;th&gt;"&amp;D1&amp;"&lt;/th&gt;","")&amp;IF(E1&lt;&gt;"","&lt;th&gt;"&amp;E1&amp;"&lt;/th&gt;","")&amp;"&lt;/tr&gt;","&lt;tr&gt;&lt;td&gt;"&amp;A1&amp;"&lt;/td&gt;&lt;td&gt;"&amp;B1&amp;"&lt;/td&gt;"&amp;IF(C1&lt;&gt;"","&lt;td&gt;"&amp;C1&amp;"&lt;/td&gt;","")&amp;IF(D1&lt;&gt;"","&lt;td&gt;"&amp;D1&amp;"&lt;/td&gt;","")&amp;IF(E1&lt;&gt;"","&lt;td&gt;"&amp;E1&amp;"&lt;/td&gt;","")&amp;"&lt;/tr&gt;"&amp;IF(A2="","&lt;/table&gt;","")),A1&amp;"&lt;br&gt;"))</f>
        <v>&lt;style&gt;table, th, td {  border: 1px solid black;  border-collapse: collapse;} th, td { padding: 5px;} th {text-align: left;} &lt;/style&gt;Pfadfinder Gruppe Musterhausen, ZVR: 123456789&lt;br&gt;</v>
      </c>
      <c r="I1">
        <v>1</v>
      </c>
    </row>
    <row r="2" spans="1:14" ht="51" customHeight="1" x14ac:dyDescent="0.25">
      <c r="A2" s="19"/>
      <c r="B2" s="2"/>
      <c r="G2" t="str">
        <f t="shared" ref="G2:G30" si="0">IF(ROW(A2)=1,"&lt;style&gt;table, th, td {  border: 1px solid black;  border-collapse: collapse;} th, td { padding: 5px;} th {text-align: left;} &lt;/style&gt;"&amp;A2&amp;"&lt;br&gt;",IF(B2&lt;&gt;"",IF(A2="Mitglieder:","&lt;table&gt;&lt;tr&gt;&lt;th&gt;&lt;/th&gt;&lt;th&gt;"&amp;B2&amp;"&lt;/th&gt;"&amp;IF(C2&lt;&gt;"","&lt;th&gt;"&amp;C2&amp;"&lt;/th&gt;","")&amp;IF(D2&lt;&gt;"","&lt;th&gt;"&amp;D2&amp;"&lt;/th&gt;","")&amp;IF(E2&lt;&gt;"","&lt;th&gt;"&amp;E2&amp;"&lt;/th&gt;","")&amp;"&lt;/tr&gt;","&lt;tr&gt;&lt;td&gt;"&amp;A2&amp;"&lt;/td&gt;&lt;td&gt;"&amp;B2&amp;"&lt;/td&gt;"&amp;IF(C2&lt;&gt;"","&lt;td&gt;"&amp;C2&amp;"&lt;/td&gt;","")&amp;IF(D2&lt;&gt;"","&lt;td&gt;"&amp;D2&amp;"&lt;/td&gt;","")&amp;IF(E2&lt;&gt;"","&lt;td&gt;"&amp;E2&amp;"&lt;/td&gt;","")&amp;"&lt;/tr&gt;"&amp;IF(A3="","&lt;/table&gt;","")),A2&amp;"&lt;br&gt;"))</f>
        <v>&lt;br&gt;</v>
      </c>
      <c r="J2" s="6"/>
      <c r="L2" s="22"/>
    </row>
    <row r="3" spans="1:14" ht="30.75" customHeight="1" x14ac:dyDescent="0.25">
      <c r="A3" t="str">
        <f>anrede&amp;"!"</f>
        <v>Liebe Familie Muster!</v>
      </c>
      <c r="B3" s="2"/>
      <c r="G3" t="str">
        <f t="shared" si="0"/>
        <v>Liebe Familie Muster!&lt;br&gt;</v>
      </c>
      <c r="I3" t="str">
        <f>IF(testmail="Ja","test@test.com",INDEX(Liste[Emailgesamt],zeilenindex))</f>
        <v>hinzkunz@muster.nix</v>
      </c>
      <c r="L3" s="1"/>
    </row>
    <row r="4" spans="1:14" x14ac:dyDescent="0.25">
      <c r="B4" s="2"/>
      <c r="G4" t="str">
        <f t="shared" si="0"/>
        <v>&lt;br&gt;</v>
      </c>
      <c r="I4" t="str">
        <f>"Liebe"&amp;IF(INDEX(Liste[Anrede],zeilenindex)="Herr","r "&amp;INDEX(Liste[Vorname],zeilenindex),IF(INDEX(Liste[Anrede],zeilenindex)="Frau"," "&amp;INDEX(Liste[Vorname],zeilenindex)," "&amp;INDEX(Liste[Anrede],zeilenindex)&amp;" "&amp;INDEX(Liste[Name],zeilenindex)))</f>
        <v>Liebe Familie Muster</v>
      </c>
      <c r="L4" s="6"/>
    </row>
    <row r="5" spans="1:14" x14ac:dyDescent="0.25">
      <c r="A5" t="str">
        <f>"Wir würden uns freuen, "&amp;IF(INDEX(Liste[Anrede],zeilenindex)="Familie","die Mitgliedschaft "&amp;IF(INDEX(Liste[AnzKinder],zeilenindex)&gt;1,"Eurer Kinder ","Eures Kindes "),"Deine Mitgliedschaft ")&amp;"bei der "&amp;kopfname&amp;" durch neuerliche Registrierung zu verlängern."</f>
        <v>Wir würden uns freuen, die Mitgliedschaft Eurer Kinder bei der Gruppe Musterhausen durch neuerliche Registrierung zu verlängern.</v>
      </c>
      <c r="B5" s="2"/>
      <c r="G5" t="str">
        <f t="shared" si="0"/>
        <v>Wir würden uns freuen, die Mitgliedschaft Eurer Kinder bei der Gruppe Musterhausen durch neuerliche Registrierung zu verlängern.&lt;br&gt;</v>
      </c>
      <c r="I5" s="26" t="s">
        <v>53</v>
      </c>
      <c r="K5" s="26" t="s">
        <v>48</v>
      </c>
    </row>
    <row r="6" spans="1:14" x14ac:dyDescent="0.25">
      <c r="A6" t="str">
        <f>"Falls "&amp;IF(INDEX(Liste[Anrede],zeilenindex)="Familie","Ihr die Mitgliedschaft "&amp;IF(INDEX(Liste[AnzKinder],zeilenindex)&gt;1,"(eines/aller) Eurer Kinder ","Eures Kindes "),"Du Deine Mitgliedschaft ")&amp;"jedoch beenden "&amp;IF(INDEX(Liste[Anrede],zeilenindex)="Familie","wollt","willst")&amp;", bitten wir diesbezüglich um eine Verständigung an mailto://registrierung@pfadfinder-gablitz.at"</f>
        <v>Falls Ihr die Mitgliedschaft (eines/aller) Eurer Kinder jedoch beenden wollt, bitten wir diesbezüglich um eine Verständigung an mailto://registrierung@pfadfinder-gablitz.at</v>
      </c>
      <c r="B6" s="2"/>
      <c r="G6" t="str">
        <f t="shared" si="0"/>
        <v>Falls Ihr die Mitgliedschaft (eines/aller) Eurer Kinder jedoch beenden wollt, bitten wir diesbezüglich um eine Verständigung an mailto://registrierung@pfadfinder-gablitz.at&lt;br&gt;</v>
      </c>
      <c r="I6" s="26" t="s">
        <v>54</v>
      </c>
    </row>
    <row r="7" spans="1:14" x14ac:dyDescent="0.25">
      <c r="B7" s="2"/>
      <c r="G7" t="str">
        <f t="shared" si="0"/>
        <v>&lt;br&gt;</v>
      </c>
      <c r="I7" t="s">
        <v>50</v>
      </c>
      <c r="J7" s="27" t="s">
        <v>11</v>
      </c>
    </row>
    <row r="8" spans="1:14" ht="15" customHeight="1" x14ac:dyDescent="0.25">
      <c r="A8" t="str">
        <f>"Weiters "&amp;IF(INDEX(Liste[Anrede],zeilenindex)="Familie","habt Ihr ","hast Du ")&amp;"auch die Möglichkeit, "&amp;IF(INDEX(Liste[Anrede],zeilenindex)="Familie","Eure ","Deine ")&amp;"Registrationsdaten zu korrigieren, bitte hierbei um"</f>
        <v>Weiters habt Ihr auch die Möglichkeit, Eure Registrationsdaten zu korrigieren, bitte hierbei um</v>
      </c>
      <c r="G8" t="str">
        <f t="shared" si="0"/>
        <v>Weiters habt Ihr auch die Möglichkeit, Eure Registrationsdaten zu korrigieren, bitte hierbei um&lt;br&gt;</v>
      </c>
      <c r="I8" t="s">
        <v>151</v>
      </c>
      <c r="J8" t="str">
        <f>"Mitgliedschaft und Registrationsdatenkorrektur "&amp;kopfname</f>
        <v>Mitgliedschaft und Registrationsdatenkorrektur Gruppe Musterhausen</v>
      </c>
    </row>
    <row r="9" spans="1:14" x14ac:dyDescent="0.25">
      <c r="A9" t="str">
        <f>"Antwort mit den korrigierten Daten an mailto://"&amp;mailto</f>
        <v>Antwort mit den korrigierten Daten an mailto://registrierung@pfadfinder-musterhausen.at</v>
      </c>
      <c r="G9" t="str">
        <f t="shared" si="0"/>
        <v>Antwort mit den korrigierten Daten an mailto://registrierung@pfadfinder-musterhausen.at&lt;br&gt;</v>
      </c>
      <c r="I9">
        <f>INDEX(Liste[AnzKinder],zeilenindex)</f>
        <v>2</v>
      </c>
    </row>
    <row r="10" spans="1:14" x14ac:dyDescent="0.25">
      <c r="G10" t="str">
        <f t="shared" si="0"/>
        <v>&lt;br&gt;</v>
      </c>
    </row>
    <row r="11" spans="1:14" x14ac:dyDescent="0.25">
      <c r="A11" t="s">
        <v>150</v>
      </c>
      <c r="B11" t="s">
        <v>121</v>
      </c>
      <c r="C11" t="str">
        <f>IF(C12&lt;&gt;"","Mitglied "&amp;K12&amp;":","")</f>
        <v>Mitglied 2:</v>
      </c>
      <c r="D11" t="str">
        <f>IF(D12&lt;&gt;"","Mitglied "&amp;L12&amp;":","")</f>
        <v>Mitglied 3:</v>
      </c>
      <c r="E11" t="str">
        <f>IF(E12&lt;&gt;"","Mitglied "&amp;M12&amp;":","")</f>
        <v>Mitglied 4:</v>
      </c>
      <c r="G11" t="str">
        <f t="shared" si="0"/>
        <v>&lt;table&gt;&lt;tr&gt;&lt;th&gt;&lt;/th&gt;&lt;th&gt;Mitglied 1:&lt;/th&gt;&lt;th&gt;Mitglied 2:&lt;/th&gt;&lt;th&gt;Mitglied 3:&lt;/th&gt;&lt;th&gt;Mitglied 4:&lt;/th&gt;&lt;/tr&gt;</v>
      </c>
      <c r="J11" t="s">
        <v>132</v>
      </c>
    </row>
    <row r="12" spans="1:14" x14ac:dyDescent="0.25">
      <c r="A12" t="s">
        <v>87</v>
      </c>
      <c r="B12" t="str">
        <f>IF(INDEX(Liste[Vorname],zeilenindex)&lt;&gt;"",INDEX(Liste[Vorname],zeilenindex),"_")</f>
        <v>Hinz</v>
      </c>
      <c r="C12" t="str">
        <f>IF(INDEX(Liste[Vorname2],zeilenindex)&lt;&gt;"",INDEX(Liste[Vorname2],zeilenindex),"_")</f>
        <v>Kunz</v>
      </c>
      <c r="D12" t="str">
        <f>IF(INDEX(Liste[Vorname3],zeilenindex)&lt;&gt;"",INDEX(Liste[Vorname3],zeilenindex),"_")</f>
        <v>_</v>
      </c>
      <c r="E12" t="str">
        <f>IF(INDEX(Liste[Vorname4],zeilenindex)&lt;&gt;"",INDEX(Liste[Vorname4],zeilenindex),"_")</f>
        <v>_</v>
      </c>
      <c r="G12" t="str">
        <f t="shared" si="0"/>
        <v>&lt;tr&gt;&lt;td&gt;Vorname&lt;/td&gt;&lt;td&gt;Hinz&lt;/td&gt;&lt;td&gt;Kunz&lt;/td&gt;&lt;td&gt;_&lt;/td&gt;&lt;td&gt;_&lt;/td&gt;&lt;/tr&gt;</v>
      </c>
      <c r="K12">
        <v>2</v>
      </c>
      <c r="L12">
        <v>3</v>
      </c>
      <c r="M12">
        <v>4</v>
      </c>
    </row>
    <row r="13" spans="1:14" x14ac:dyDescent="0.25">
      <c r="A13" t="s">
        <v>88</v>
      </c>
      <c r="B13" t="str">
        <f>IF(INDEX(Liste[Nachname],zeilenindex)&lt;&gt;"",INDEX(Liste[Nachname],zeilenindex),"_")</f>
        <v>Muster</v>
      </c>
      <c r="C13" t="str">
        <f>IF(INDEX(Liste[Nachname2],zeilenindex)&lt;&gt;"",INDEX(Liste[Nachname2],zeilenindex),"_")</f>
        <v>Muster</v>
      </c>
      <c r="D13" t="str">
        <f>IF(INDEX(Liste[Nachname3],zeilenindex)&lt;&gt;"",INDEX(Liste[Nachname3],zeilenindex),"_")</f>
        <v>_</v>
      </c>
      <c r="E13" t="str">
        <f>IF(INDEX(Liste[Nachname4],zeilenindex)&lt;&gt;"",INDEX(Liste[Nachname4],zeilenindex),"_")</f>
        <v>_</v>
      </c>
      <c r="G13" t="str">
        <f t="shared" si="0"/>
        <v>&lt;tr&gt;&lt;td&gt;Nachname&lt;/td&gt;&lt;td&gt;Muster&lt;/td&gt;&lt;td&gt;Muster&lt;/td&gt;&lt;td&gt;_&lt;/td&gt;&lt;td&gt;_&lt;/td&gt;&lt;/tr&gt;</v>
      </c>
      <c r="J13" t="str">
        <f>"=WENN(INDEX(Liste["&amp;$N13&amp;J$12&amp;"];zeilenindex)&lt;&gt;"""";INDEX(Liste["&amp;$N13&amp;J$12&amp;"];zeilenindex);""_"")"</f>
        <v>=WENN(INDEX(Liste[Vorname];zeilenindex)&lt;&gt;"";INDEX(Liste[Vorname];zeilenindex);"_")</v>
      </c>
      <c r="K13" t="str">
        <f t="shared" ref="K13:M28" si="1">"=WENN(INDEX(Liste["&amp;$N13&amp;K$12&amp;"];zeilenindex)&lt;&gt;"""";INDEX(Liste["&amp;$N13&amp;K$12&amp;"];zeilenindex);""_"")"</f>
        <v>=WENN(INDEX(Liste[Vorname2];zeilenindex)&lt;&gt;"";INDEX(Liste[Vorname2];zeilenindex);"_")</v>
      </c>
      <c r="L13" t="str">
        <f t="shared" si="1"/>
        <v>=WENN(INDEX(Liste[Vorname3];zeilenindex)&lt;&gt;"";INDEX(Liste[Vorname3];zeilenindex);"_")</v>
      </c>
      <c r="M13" t="str">
        <f t="shared" si="1"/>
        <v>=WENN(INDEX(Liste[Vorname4];zeilenindex)&lt;&gt;"";INDEX(Liste[Vorname4];zeilenindex);"_")</v>
      </c>
      <c r="N13" t="s">
        <v>87</v>
      </c>
    </row>
    <row r="14" spans="1:14" x14ac:dyDescent="0.25">
      <c r="A14" t="s">
        <v>58</v>
      </c>
      <c r="B14" t="str">
        <f>IF(INDEX(Liste[Strasse],zeilenindex)&lt;&gt;"",INDEX(Liste[Strasse],zeilenindex),"_")</f>
        <v>Musterstrasse 8/15</v>
      </c>
      <c r="C14" t="str">
        <f>IF(INDEX(Liste[Strasse2],zeilenindex)&lt;&gt;"",INDEX(Liste[Strasse2],zeilenindex),"_")</f>
        <v>Musterstrasse 8/15</v>
      </c>
      <c r="D14" t="str">
        <f>IF(INDEX(Liste[Strasse3],zeilenindex)&lt;&gt;"",INDEX(Liste[Strasse3],zeilenindex),"_")</f>
        <v>_</v>
      </c>
      <c r="E14" t="str">
        <f>IF(INDEX(Liste[Strasse4],zeilenindex)&lt;&gt;"",INDEX(Liste[Strasse4],zeilenindex),"_")</f>
        <v>_</v>
      </c>
      <c r="G14" t="str">
        <f t="shared" si="0"/>
        <v>&lt;tr&gt;&lt;td&gt;Strasse&lt;/td&gt;&lt;td&gt;Musterstrasse 8/15&lt;/td&gt;&lt;td&gt;Musterstrasse 8/15&lt;/td&gt;&lt;td&gt;_&lt;/td&gt;&lt;td&gt;_&lt;/td&gt;&lt;/tr&gt;</v>
      </c>
      <c r="J14" t="str">
        <f t="shared" ref="J14:M29" si="2">"=WENN(INDEX(Liste["&amp;$N14&amp;J$12&amp;"];zeilenindex)&lt;&gt;"""";INDEX(Liste["&amp;$N14&amp;J$12&amp;"];zeilenindex);""_"")"</f>
        <v>=WENN(INDEX(Liste[Nachname];zeilenindex)&lt;&gt;"";INDEX(Liste[Nachname];zeilenindex);"_")</v>
      </c>
      <c r="K14" t="str">
        <f t="shared" si="1"/>
        <v>=WENN(INDEX(Liste[Nachname2];zeilenindex)&lt;&gt;"";INDEX(Liste[Nachname2];zeilenindex);"_")</v>
      </c>
      <c r="L14" t="str">
        <f t="shared" si="1"/>
        <v>=WENN(INDEX(Liste[Nachname3];zeilenindex)&lt;&gt;"";INDEX(Liste[Nachname3];zeilenindex);"_")</v>
      </c>
      <c r="M14" t="str">
        <f t="shared" si="1"/>
        <v>=WENN(INDEX(Liste[Nachname4];zeilenindex)&lt;&gt;"";INDEX(Liste[Nachname4];zeilenindex);"_")</v>
      </c>
      <c r="N14" t="s">
        <v>88</v>
      </c>
    </row>
    <row r="15" spans="1:14" x14ac:dyDescent="0.25">
      <c r="A15" t="s">
        <v>59</v>
      </c>
      <c r="B15">
        <f>IF(INDEX(Liste[Plz],zeilenindex)&lt;&gt;"",INDEX(Liste[Plz],zeilenindex),"_")</f>
        <v>4711</v>
      </c>
      <c r="C15">
        <f>IF(INDEX(Liste[Plz2],zeilenindex)&lt;&gt;"",INDEX(Liste[Plz2],zeilenindex),"_")</f>
        <v>4711</v>
      </c>
      <c r="D15" t="str">
        <f>IF(INDEX(Liste[Plz3],zeilenindex)&lt;&gt;"",INDEX(Liste[Plz3],zeilenindex),"_")</f>
        <v>_</v>
      </c>
      <c r="E15" t="str">
        <f>IF(INDEX(Liste[Plz4],zeilenindex)&lt;&gt;"",INDEX(Liste[Plz4],zeilenindex),"_")</f>
        <v>_</v>
      </c>
      <c r="G15" t="str">
        <f t="shared" si="0"/>
        <v>&lt;tr&gt;&lt;td&gt;Plz&lt;/td&gt;&lt;td&gt;4711&lt;/td&gt;&lt;td&gt;4711&lt;/td&gt;&lt;td&gt;_&lt;/td&gt;&lt;td&gt;_&lt;/td&gt;&lt;/tr&gt;</v>
      </c>
      <c r="J15" t="str">
        <f t="shared" si="2"/>
        <v>=WENN(INDEX(Liste[Strasse];zeilenindex)&lt;&gt;"";INDEX(Liste[Strasse];zeilenindex);"_")</v>
      </c>
      <c r="K15" t="str">
        <f t="shared" si="1"/>
        <v>=WENN(INDEX(Liste[Strasse2];zeilenindex)&lt;&gt;"";INDEX(Liste[Strasse2];zeilenindex);"_")</v>
      </c>
      <c r="L15" t="str">
        <f t="shared" si="1"/>
        <v>=WENN(INDEX(Liste[Strasse3];zeilenindex)&lt;&gt;"";INDEX(Liste[Strasse3];zeilenindex);"_")</v>
      </c>
      <c r="M15" t="str">
        <f t="shared" si="1"/>
        <v>=WENN(INDEX(Liste[Strasse4];zeilenindex)&lt;&gt;"";INDEX(Liste[Strasse4];zeilenindex);"_")</v>
      </c>
      <c r="N15" t="s">
        <v>58</v>
      </c>
    </row>
    <row r="16" spans="1:14" x14ac:dyDescent="0.25">
      <c r="A16" t="s">
        <v>60</v>
      </c>
      <c r="B16" t="str">
        <f>IF(INDEX(Liste[Ort],zeilenindex)&lt;&gt;"",INDEX(Liste[Ort],zeilenindex),"_")</f>
        <v xml:space="preserve"> Musterhausen</v>
      </c>
      <c r="C16" t="str">
        <f>IF(INDEX(Liste[Ort2],zeilenindex)&lt;&gt;"",INDEX(Liste[Ort2],zeilenindex),"_")</f>
        <v xml:space="preserve"> Musterhausen</v>
      </c>
      <c r="D16" t="str">
        <f>IF(INDEX(Liste[Ort3],zeilenindex)&lt;&gt;"",INDEX(Liste[Ort3],zeilenindex),"_")</f>
        <v>_</v>
      </c>
      <c r="E16" t="str">
        <f>IF(INDEX(Liste[Ort4],zeilenindex)&lt;&gt;"",INDEX(Liste[Ort4],zeilenindex),"_")</f>
        <v>_</v>
      </c>
      <c r="G16" t="str">
        <f t="shared" si="0"/>
        <v>&lt;tr&gt;&lt;td&gt;Ort&lt;/td&gt;&lt;td&gt; Musterhausen&lt;/td&gt;&lt;td&gt; Musterhausen&lt;/td&gt;&lt;td&gt;_&lt;/td&gt;&lt;td&gt;_&lt;/td&gt;&lt;/tr&gt;</v>
      </c>
      <c r="J16" t="str">
        <f t="shared" si="2"/>
        <v>=WENN(INDEX(Liste[Plz];zeilenindex)&lt;&gt;"";INDEX(Liste[Plz];zeilenindex);"_")</v>
      </c>
      <c r="K16" t="str">
        <f t="shared" si="1"/>
        <v>=WENN(INDEX(Liste[Plz2];zeilenindex)&lt;&gt;"";INDEX(Liste[Plz2];zeilenindex);"_")</v>
      </c>
      <c r="L16" t="str">
        <f t="shared" si="1"/>
        <v>=WENN(INDEX(Liste[Plz3];zeilenindex)&lt;&gt;"";INDEX(Liste[Plz3];zeilenindex);"_")</v>
      </c>
      <c r="M16" t="str">
        <f t="shared" si="1"/>
        <v>=WENN(INDEX(Liste[Plz4];zeilenindex)&lt;&gt;"";INDEX(Liste[Plz4];zeilenindex);"_")</v>
      </c>
      <c r="N16" t="s">
        <v>59</v>
      </c>
    </row>
    <row r="17" spans="1:14" x14ac:dyDescent="0.25">
      <c r="A17" t="s">
        <v>37</v>
      </c>
      <c r="B17" t="str">
        <f>IF(INDEX(Liste[Telefon],zeilenindex)&lt;&gt;"",INDEX(Liste[Telefon],zeilenindex),"_")</f>
        <v>0999/999999999</v>
      </c>
      <c r="C17" t="str">
        <f>IF(INDEX(Liste[Telefon2],zeilenindex)&lt;&gt;"",INDEX(Liste[Telefon2],zeilenindex),"_")</f>
        <v>0999/999999999</v>
      </c>
      <c r="D17" t="str">
        <f>IF(INDEX(Liste[Telefon3],zeilenindex)&lt;&gt;"",INDEX(Liste[Telefon3],zeilenindex),"_")</f>
        <v>_</v>
      </c>
      <c r="E17" t="str">
        <f>IF(INDEX(Liste[Telefon4],zeilenindex)&lt;&gt;"",INDEX(Liste[Telefon4],zeilenindex),"_")</f>
        <v>_</v>
      </c>
      <c r="G17" t="str">
        <f t="shared" si="0"/>
        <v>&lt;tr&gt;&lt;td&gt;Telefon&lt;/td&gt;&lt;td&gt;0999/999999999&lt;/td&gt;&lt;td&gt;0999/999999999&lt;/td&gt;&lt;td&gt;_&lt;/td&gt;&lt;td&gt;_&lt;/td&gt;&lt;/tr&gt;</v>
      </c>
      <c r="J17" t="str">
        <f t="shared" si="2"/>
        <v>=WENN(INDEX(Liste[Ort];zeilenindex)&lt;&gt;"";INDEX(Liste[Ort];zeilenindex);"_")</v>
      </c>
      <c r="K17" t="str">
        <f t="shared" si="1"/>
        <v>=WENN(INDEX(Liste[Ort2];zeilenindex)&lt;&gt;"";INDEX(Liste[Ort2];zeilenindex);"_")</v>
      </c>
      <c r="L17" t="str">
        <f t="shared" si="1"/>
        <v>=WENN(INDEX(Liste[Ort3];zeilenindex)&lt;&gt;"";INDEX(Liste[Ort3];zeilenindex);"_")</v>
      </c>
      <c r="M17" t="str">
        <f t="shared" si="1"/>
        <v>=WENN(INDEX(Liste[Ort4];zeilenindex)&lt;&gt;"";INDEX(Liste[Ort4];zeilenindex);"_")</v>
      </c>
      <c r="N17" t="s">
        <v>60</v>
      </c>
    </row>
    <row r="18" spans="1:14" x14ac:dyDescent="0.25">
      <c r="A18" t="s">
        <v>36</v>
      </c>
      <c r="B18" t="str">
        <f>IF(INDEX(Liste[Email],zeilenindex)&lt;&gt;"",INDEX(Liste[Email],zeilenindex),"_")</f>
        <v>hinz@muster.nix</v>
      </c>
      <c r="C18" t="str">
        <f>IF(INDEX(Liste[Email2],zeilenindex)&lt;&gt;"",INDEX(Liste[Email2],zeilenindex),"_")</f>
        <v>kunz@muster.nix</v>
      </c>
      <c r="D18" t="str">
        <f>IF(INDEX(Liste[Email3],zeilenindex)&lt;&gt;"",INDEX(Liste[Email3],zeilenindex),"_")</f>
        <v>_</v>
      </c>
      <c r="E18" t="str">
        <f>IF(INDEX(Liste[Email4],zeilenindex)&lt;&gt;"",INDEX(Liste[Email4],zeilenindex),"_")</f>
        <v>_</v>
      </c>
      <c r="G18" t="str">
        <f t="shared" si="0"/>
        <v>&lt;tr&gt;&lt;td&gt;Email&lt;/td&gt;&lt;td&gt;hinz@muster.nix&lt;/td&gt;&lt;td&gt;kunz@muster.nix&lt;/td&gt;&lt;td&gt;_&lt;/td&gt;&lt;td&gt;_&lt;/td&gt;&lt;/tr&gt;</v>
      </c>
      <c r="J18" t="str">
        <f t="shared" si="2"/>
        <v>=WENN(INDEX(Liste[Telefon];zeilenindex)&lt;&gt;"";INDEX(Liste[Telefon];zeilenindex);"_")</v>
      </c>
      <c r="K18" t="str">
        <f t="shared" si="1"/>
        <v>=WENN(INDEX(Liste[Telefon2];zeilenindex)&lt;&gt;"";INDEX(Liste[Telefon2];zeilenindex);"_")</v>
      </c>
      <c r="L18" t="str">
        <f t="shared" si="1"/>
        <v>=WENN(INDEX(Liste[Telefon3];zeilenindex)&lt;&gt;"";INDEX(Liste[Telefon3];zeilenindex);"_")</v>
      </c>
      <c r="M18" t="str">
        <f t="shared" si="1"/>
        <v>=WENN(INDEX(Liste[Telefon4];zeilenindex)&lt;&gt;"";INDEX(Liste[Telefon4];zeilenindex);"_")</v>
      </c>
      <c r="N18" t="s">
        <v>37</v>
      </c>
    </row>
    <row r="19" spans="1:14" x14ac:dyDescent="0.25">
      <c r="A19" t="s">
        <v>122</v>
      </c>
      <c r="B19" t="str">
        <f>IF(INDEX(Liste[NFName],zeilenindex)&lt;&gt;"",INDEX(Liste[NFName],zeilenindex),"_")</f>
        <v>Mama</v>
      </c>
      <c r="C19" t="str">
        <f>IF(INDEX(Liste[NFName2],zeilenindex)&lt;&gt;"",INDEX(Liste[NFName2],zeilenindex),"_")</f>
        <v>Mama</v>
      </c>
      <c r="D19" t="str">
        <f>IF(INDEX(Liste[NFName3],zeilenindex)&lt;&gt;"",INDEX(Liste[NFName3],zeilenindex),"_")</f>
        <v>_</v>
      </c>
      <c r="E19" t="str">
        <f>IF(INDEX(Liste[NFName4],zeilenindex)&lt;&gt;"",INDEX(Liste[NFName4],zeilenindex),"_")</f>
        <v>_</v>
      </c>
      <c r="G19" t="str">
        <f t="shared" si="0"/>
        <v>&lt;tr&gt;&lt;td&gt;1.Erz.Ber. Name&lt;/td&gt;&lt;td&gt;Mama&lt;/td&gt;&lt;td&gt;Mama&lt;/td&gt;&lt;td&gt;_&lt;/td&gt;&lt;td&gt;_&lt;/td&gt;&lt;/tr&gt;</v>
      </c>
      <c r="J19" t="str">
        <f t="shared" si="2"/>
        <v>=WENN(INDEX(Liste[Email];zeilenindex)&lt;&gt;"";INDEX(Liste[Email];zeilenindex);"_")</v>
      </c>
      <c r="K19" t="str">
        <f t="shared" si="1"/>
        <v>=WENN(INDEX(Liste[Email2];zeilenindex)&lt;&gt;"";INDEX(Liste[Email2];zeilenindex);"_")</v>
      </c>
      <c r="L19" t="str">
        <f t="shared" si="1"/>
        <v>=WENN(INDEX(Liste[Email3];zeilenindex)&lt;&gt;"";INDEX(Liste[Email3];zeilenindex);"_")</v>
      </c>
      <c r="M19" t="str">
        <f t="shared" si="1"/>
        <v>=WENN(INDEX(Liste[Email4];zeilenindex)&lt;&gt;"";INDEX(Liste[Email4];zeilenindex);"_")</v>
      </c>
      <c r="N19" t="s">
        <v>36</v>
      </c>
    </row>
    <row r="20" spans="1:14" x14ac:dyDescent="0.25">
      <c r="A20" t="s">
        <v>123</v>
      </c>
      <c r="B20" t="str">
        <f>IF(INDEX(Liste[NFStrasse],zeilenindex)&lt;&gt;"",INDEX(Liste[NFStrasse],zeilenindex),"_")</f>
        <v>Musterstrasse 8/15</v>
      </c>
      <c r="C20" t="str">
        <f>IF(INDEX(Liste[NFStrasse2],zeilenindex)&lt;&gt;"",INDEX(Liste[NFStrasse2],zeilenindex),"_")</f>
        <v>Musterstrasse 8/15</v>
      </c>
      <c r="D20" t="str">
        <f>IF(INDEX(Liste[NFStrasse3],zeilenindex)&lt;&gt;"",INDEX(Liste[NFStrasse3],zeilenindex),"_")</f>
        <v>_</v>
      </c>
      <c r="E20" t="str">
        <f>IF(INDEX(Liste[NFStrasse4],zeilenindex)&lt;&gt;"",INDEX(Liste[NFStrasse4],zeilenindex),"_")</f>
        <v>_</v>
      </c>
      <c r="G20" t="str">
        <f t="shared" si="0"/>
        <v>&lt;tr&gt;&lt;td&gt;1.Erz.Ber. Strasse&lt;/td&gt;&lt;td&gt;Musterstrasse 8/15&lt;/td&gt;&lt;td&gt;Musterstrasse 8/15&lt;/td&gt;&lt;td&gt;_&lt;/td&gt;&lt;td&gt;_&lt;/td&gt;&lt;/tr&gt;</v>
      </c>
      <c r="J20" t="str">
        <f t="shared" si="2"/>
        <v>=WENN(INDEX(Liste[NFName];zeilenindex)&lt;&gt;"";INDEX(Liste[NFName];zeilenindex);"_")</v>
      </c>
      <c r="K20" t="str">
        <f t="shared" si="1"/>
        <v>=WENN(INDEX(Liste[NFName2];zeilenindex)&lt;&gt;"";INDEX(Liste[NFName2];zeilenindex);"_")</v>
      </c>
      <c r="L20" t="str">
        <f t="shared" si="1"/>
        <v>=WENN(INDEX(Liste[NFName3];zeilenindex)&lt;&gt;"";INDEX(Liste[NFName3];zeilenindex);"_")</v>
      </c>
      <c r="M20" t="str">
        <f t="shared" si="1"/>
        <v>=WENN(INDEX(Liste[NFName4];zeilenindex)&lt;&gt;"";INDEX(Liste[NFName4];zeilenindex);"_")</v>
      </c>
      <c r="N20" t="s">
        <v>61</v>
      </c>
    </row>
    <row r="21" spans="1:14" x14ac:dyDescent="0.25">
      <c r="A21" t="s">
        <v>124</v>
      </c>
      <c r="B21" t="str">
        <f>IF(INDEX(Liste[NFPlzOrt],zeilenindex)&lt;&gt;"",INDEX(Liste[NFPlzOrt],zeilenindex),"_")</f>
        <v>4711 Musterhausen</v>
      </c>
      <c r="C21" t="str">
        <f>IF(INDEX(Liste[NFPlzOrt2],zeilenindex)&lt;&gt;"",INDEX(Liste[NFPlzOrt2],zeilenindex),"_")</f>
        <v>4711 Musterhausen</v>
      </c>
      <c r="D21" t="str">
        <f>IF(INDEX(Liste[NFPlzOrt3],zeilenindex)&lt;&gt;"",INDEX(Liste[NFPlzOrt3],zeilenindex),"_")</f>
        <v>_</v>
      </c>
      <c r="E21" t="str">
        <f>IF(INDEX(Liste[NFPlzOrt4],zeilenindex)&lt;&gt;"",INDEX(Liste[NFPlzOrt4],zeilenindex),"_")</f>
        <v>_</v>
      </c>
      <c r="G21" t="str">
        <f t="shared" si="0"/>
        <v>&lt;tr&gt;&lt;td&gt;1.Erz.Ber. PlzOrt&lt;/td&gt;&lt;td&gt;4711 Musterhausen&lt;/td&gt;&lt;td&gt;4711 Musterhausen&lt;/td&gt;&lt;td&gt;_&lt;/td&gt;&lt;td&gt;_&lt;/td&gt;&lt;/tr&gt;</v>
      </c>
      <c r="J21" t="str">
        <f t="shared" si="2"/>
        <v>=WENN(INDEX(Liste[NFStrasse];zeilenindex)&lt;&gt;"";INDEX(Liste[NFStrasse];zeilenindex);"_")</v>
      </c>
      <c r="K21" t="str">
        <f t="shared" si="1"/>
        <v>=WENN(INDEX(Liste[NFStrasse2];zeilenindex)&lt;&gt;"";INDEX(Liste[NFStrasse2];zeilenindex);"_")</v>
      </c>
      <c r="L21" t="str">
        <f t="shared" si="1"/>
        <v>=WENN(INDEX(Liste[NFStrasse3];zeilenindex)&lt;&gt;"";INDEX(Liste[NFStrasse3];zeilenindex);"_")</v>
      </c>
      <c r="M21" t="str">
        <f t="shared" si="1"/>
        <v>=WENN(INDEX(Liste[NFStrasse4];zeilenindex)&lt;&gt;"";INDEX(Liste[NFStrasse4];zeilenindex);"_")</v>
      </c>
      <c r="N21" t="s">
        <v>62</v>
      </c>
    </row>
    <row r="22" spans="1:14" x14ac:dyDescent="0.25">
      <c r="A22" t="s">
        <v>125</v>
      </c>
      <c r="B22" t="str">
        <f>IF(INDEX(Liste[NFTelefon],zeilenindex)&lt;&gt;"",INDEX(Liste[NFTelefon],zeilenindex),"_")</f>
        <v>0999/898989898</v>
      </c>
      <c r="C22" t="str">
        <f>IF(INDEX(Liste[NFTelefon2],zeilenindex)&lt;&gt;"",INDEX(Liste[NFTelefon2],zeilenindex),"_")</f>
        <v>0999/898989898</v>
      </c>
      <c r="D22" t="str">
        <f>IF(INDEX(Liste[NFTelefon3],zeilenindex)&lt;&gt;"",INDEX(Liste[NFTelefon3],zeilenindex),"_")</f>
        <v>_</v>
      </c>
      <c r="E22" t="str">
        <f>IF(INDEX(Liste[NFTelefon4],zeilenindex)&lt;&gt;"",INDEX(Liste[NFTelefon4],zeilenindex),"_")</f>
        <v>_</v>
      </c>
      <c r="G22" t="str">
        <f t="shared" si="0"/>
        <v>&lt;tr&gt;&lt;td&gt;1.Erz.Ber. Telefon&lt;/td&gt;&lt;td&gt;0999/898989898&lt;/td&gt;&lt;td&gt;0999/898989898&lt;/td&gt;&lt;td&gt;_&lt;/td&gt;&lt;td&gt;_&lt;/td&gt;&lt;/tr&gt;</v>
      </c>
      <c r="J22" t="str">
        <f t="shared" si="2"/>
        <v>=WENN(INDEX(Liste[NFPlzOrt];zeilenindex)&lt;&gt;"";INDEX(Liste[NFPlzOrt];zeilenindex);"_")</v>
      </c>
      <c r="K22" t="str">
        <f t="shared" si="1"/>
        <v>=WENN(INDEX(Liste[NFPlzOrt2];zeilenindex)&lt;&gt;"";INDEX(Liste[NFPlzOrt2];zeilenindex);"_")</v>
      </c>
      <c r="L22" t="str">
        <f t="shared" si="1"/>
        <v>=WENN(INDEX(Liste[NFPlzOrt3];zeilenindex)&lt;&gt;"";INDEX(Liste[NFPlzOrt3];zeilenindex);"_")</v>
      </c>
      <c r="M22" t="str">
        <f t="shared" si="1"/>
        <v>=WENN(INDEX(Liste[NFPlzOrt4];zeilenindex)&lt;&gt;"";INDEX(Liste[NFPlzOrt4];zeilenindex);"_")</v>
      </c>
      <c r="N22" t="s">
        <v>63</v>
      </c>
    </row>
    <row r="23" spans="1:14" x14ac:dyDescent="0.25">
      <c r="A23" t="s">
        <v>126</v>
      </c>
      <c r="B23" t="str">
        <f>IF(INDEX(Liste[NFEMail],zeilenindex)&lt;&gt;"",INDEX(Liste[NFEMail],zeilenindex),"_")</f>
        <v>hinzkunz@muster.nix</v>
      </c>
      <c r="C23" t="str">
        <f>IF(INDEX(Liste[NFEMail2],zeilenindex)&lt;&gt;"",INDEX(Liste[NFEMail2],zeilenindex),"_")</f>
        <v>hinzkunz@muster.nix</v>
      </c>
      <c r="D23" t="str">
        <f>IF(INDEX(Liste[NFEMail3],zeilenindex)&lt;&gt;"",INDEX(Liste[NFEMail3],zeilenindex),"_")</f>
        <v>_</v>
      </c>
      <c r="E23" t="str">
        <f>IF(INDEX(Liste[NFEMail4],zeilenindex)&lt;&gt;"",INDEX(Liste[NFEMail4],zeilenindex),"_")</f>
        <v>_</v>
      </c>
      <c r="G23" t="str">
        <f t="shared" si="0"/>
        <v>&lt;tr&gt;&lt;td&gt;1.Erz.Ber. EMail&lt;/td&gt;&lt;td&gt;hinzkunz@muster.nix&lt;/td&gt;&lt;td&gt;hinzkunz@muster.nix&lt;/td&gt;&lt;td&gt;_&lt;/td&gt;&lt;td&gt;_&lt;/td&gt;&lt;/tr&gt;</v>
      </c>
      <c r="J23" t="str">
        <f t="shared" si="2"/>
        <v>=WENN(INDEX(Liste[NFTelefon];zeilenindex)&lt;&gt;"";INDEX(Liste[NFTelefon];zeilenindex);"_")</v>
      </c>
      <c r="K23" t="str">
        <f t="shared" si="1"/>
        <v>=WENN(INDEX(Liste[NFTelefon2];zeilenindex)&lt;&gt;"";INDEX(Liste[NFTelefon2];zeilenindex);"_")</v>
      </c>
      <c r="L23" t="str">
        <f t="shared" si="1"/>
        <v>=WENN(INDEX(Liste[NFTelefon3];zeilenindex)&lt;&gt;"";INDEX(Liste[NFTelefon3];zeilenindex);"_")</v>
      </c>
      <c r="M23" t="str">
        <f t="shared" si="1"/>
        <v>=WENN(INDEX(Liste[NFTelefon4];zeilenindex)&lt;&gt;"";INDEX(Liste[NFTelefon4];zeilenindex);"_")</v>
      </c>
      <c r="N23" t="s">
        <v>64</v>
      </c>
    </row>
    <row r="24" spans="1:14" x14ac:dyDescent="0.25">
      <c r="A24" t="s">
        <v>127</v>
      </c>
      <c r="B24" t="str">
        <f>IF(INDEX(Liste[EBName],zeilenindex)&lt;&gt;"",INDEX(Liste[EBName],zeilenindex),"_")</f>
        <v>Papa</v>
      </c>
      <c r="C24" t="str">
        <f>IF(INDEX(Liste[EBName2],zeilenindex)&lt;&gt;"",INDEX(Liste[EBName2],zeilenindex),"_")</f>
        <v>Papa</v>
      </c>
      <c r="D24" t="str">
        <f>IF(INDEX(Liste[EBName3],zeilenindex)&lt;&gt;"",INDEX(Liste[EBName3],zeilenindex),"_")</f>
        <v>_</v>
      </c>
      <c r="E24" t="str">
        <f>IF(INDEX(Liste[EBName4],zeilenindex)&lt;&gt;"",INDEX(Liste[EBName4],zeilenindex),"_")</f>
        <v>_</v>
      </c>
      <c r="G24" t="str">
        <f t="shared" si="0"/>
        <v>&lt;tr&gt;&lt;td&gt;2.Erz.Ber. Name&lt;/td&gt;&lt;td&gt;Papa&lt;/td&gt;&lt;td&gt;Papa&lt;/td&gt;&lt;td&gt;_&lt;/td&gt;&lt;td&gt;_&lt;/td&gt;&lt;/tr&gt;</v>
      </c>
      <c r="J24" t="str">
        <f t="shared" si="2"/>
        <v>=WENN(INDEX(Liste[NFEMail];zeilenindex)&lt;&gt;"";INDEX(Liste[NFEMail];zeilenindex);"_")</v>
      </c>
      <c r="K24" t="str">
        <f t="shared" si="1"/>
        <v>=WENN(INDEX(Liste[NFEMail2];zeilenindex)&lt;&gt;"";INDEX(Liste[NFEMail2];zeilenindex);"_")</v>
      </c>
      <c r="L24" t="str">
        <f t="shared" si="1"/>
        <v>=WENN(INDEX(Liste[NFEMail3];zeilenindex)&lt;&gt;"";INDEX(Liste[NFEMail3];zeilenindex);"_")</v>
      </c>
      <c r="M24" t="str">
        <f t="shared" si="1"/>
        <v>=WENN(INDEX(Liste[NFEMail4];zeilenindex)&lt;&gt;"";INDEX(Liste[NFEMail4];zeilenindex);"_")</v>
      </c>
      <c r="N24" t="s">
        <v>65</v>
      </c>
    </row>
    <row r="25" spans="1:14" x14ac:dyDescent="0.25">
      <c r="A25" t="s">
        <v>128</v>
      </c>
      <c r="B25" t="str">
        <f>IF(INDEX(Liste[EBStrasse],zeilenindex)&lt;&gt;"",INDEX(Liste[EBStrasse],zeilenindex),"_")</f>
        <v>Musterstrasse 8/15</v>
      </c>
      <c r="C25" t="str">
        <f>IF(INDEX(Liste[EBStrasse2],zeilenindex)&lt;&gt;"",INDEX(Liste[EBStrasse2],zeilenindex),"_")</f>
        <v>Musterstrasse 8/15</v>
      </c>
      <c r="D25" t="str">
        <f>IF(INDEX(Liste[EBStrasse3],zeilenindex)&lt;&gt;"",INDEX(Liste[EBStrasse3],zeilenindex),"_")</f>
        <v>_</v>
      </c>
      <c r="E25" t="str">
        <f>IF(INDEX(Liste[EBStrasse4],zeilenindex)&lt;&gt;"",INDEX(Liste[EBStrasse4],zeilenindex),"_")</f>
        <v>_</v>
      </c>
      <c r="G25" t="str">
        <f t="shared" si="0"/>
        <v>&lt;tr&gt;&lt;td&gt;2.Erz.Ber. Strasse&lt;/td&gt;&lt;td&gt;Musterstrasse 8/15&lt;/td&gt;&lt;td&gt;Musterstrasse 8/15&lt;/td&gt;&lt;td&gt;_&lt;/td&gt;&lt;td&gt;_&lt;/td&gt;&lt;/tr&gt;</v>
      </c>
      <c r="J25" t="str">
        <f t="shared" si="2"/>
        <v>=WENN(INDEX(Liste[EBName];zeilenindex)&lt;&gt;"";INDEX(Liste[EBName];zeilenindex);"_")</v>
      </c>
      <c r="K25" t="str">
        <f t="shared" si="1"/>
        <v>=WENN(INDEX(Liste[EBName2];zeilenindex)&lt;&gt;"";INDEX(Liste[EBName2];zeilenindex);"_")</v>
      </c>
      <c r="L25" t="str">
        <f t="shared" si="1"/>
        <v>=WENN(INDEX(Liste[EBName3];zeilenindex)&lt;&gt;"";INDEX(Liste[EBName3];zeilenindex);"_")</v>
      </c>
      <c r="M25" t="str">
        <f t="shared" si="1"/>
        <v>=WENN(INDEX(Liste[EBName4];zeilenindex)&lt;&gt;"";INDEX(Liste[EBName4];zeilenindex);"_")</v>
      </c>
      <c r="N25" t="s">
        <v>66</v>
      </c>
    </row>
    <row r="26" spans="1:14" x14ac:dyDescent="0.25">
      <c r="A26" t="s">
        <v>129</v>
      </c>
      <c r="B26" t="str">
        <f>IF(INDEX(Liste[EBPlzOrt],zeilenindex)&lt;&gt;"",INDEX(Liste[EBPlzOrt],zeilenindex),"_")</f>
        <v>4711 Musterhausen</v>
      </c>
      <c r="C26" t="str">
        <f>IF(INDEX(Liste[EBPlzOrt2],zeilenindex)&lt;&gt;"",INDEX(Liste[EBPlzOrt2],zeilenindex),"_")</f>
        <v>4711 Musterhausen</v>
      </c>
      <c r="D26" t="str">
        <f>IF(INDEX(Liste[EBPlzOrt3],zeilenindex)&lt;&gt;"",INDEX(Liste[EBPlzOrt3],zeilenindex),"_")</f>
        <v>_</v>
      </c>
      <c r="E26" t="str">
        <f>IF(INDEX(Liste[EBPlzOrt4],zeilenindex)&lt;&gt;"",INDEX(Liste[EBPlzOrt4],zeilenindex),"_")</f>
        <v>_</v>
      </c>
      <c r="G26" t="str">
        <f t="shared" si="0"/>
        <v>&lt;tr&gt;&lt;td&gt;2.Erz.Ber. PlzOrt&lt;/td&gt;&lt;td&gt;4711 Musterhausen&lt;/td&gt;&lt;td&gt;4711 Musterhausen&lt;/td&gt;&lt;td&gt;_&lt;/td&gt;&lt;td&gt;_&lt;/td&gt;&lt;/tr&gt;</v>
      </c>
      <c r="J26" t="str">
        <f t="shared" si="2"/>
        <v>=WENN(INDEX(Liste[EBStrasse];zeilenindex)&lt;&gt;"";INDEX(Liste[EBStrasse];zeilenindex);"_")</v>
      </c>
      <c r="K26" t="str">
        <f t="shared" si="1"/>
        <v>=WENN(INDEX(Liste[EBStrasse2];zeilenindex)&lt;&gt;"";INDEX(Liste[EBStrasse2];zeilenindex);"_")</v>
      </c>
      <c r="L26" t="str">
        <f t="shared" si="1"/>
        <v>=WENN(INDEX(Liste[EBStrasse3];zeilenindex)&lt;&gt;"";INDEX(Liste[EBStrasse3];zeilenindex);"_")</v>
      </c>
      <c r="M26" t="str">
        <f t="shared" si="1"/>
        <v>=WENN(INDEX(Liste[EBStrasse4];zeilenindex)&lt;&gt;"";INDEX(Liste[EBStrasse4];zeilenindex);"_")</v>
      </c>
      <c r="N26" t="s">
        <v>67</v>
      </c>
    </row>
    <row r="27" spans="1:14" x14ac:dyDescent="0.25">
      <c r="A27" t="s">
        <v>130</v>
      </c>
      <c r="B27" t="str">
        <f>IF(INDEX(Liste[EBTelefon],zeilenindex)&lt;&gt;"",INDEX(Liste[EBTelefon],zeilenindex),"_")</f>
        <v>0999/898989898</v>
      </c>
      <c r="C27" t="str">
        <f>IF(INDEX(Liste[EBTelefon2],zeilenindex)&lt;&gt;"",INDEX(Liste[EBTelefon2],zeilenindex),"_")</f>
        <v>0999/898989898</v>
      </c>
      <c r="D27" t="str">
        <f>IF(INDEX(Liste[EBTelefon3],zeilenindex)&lt;&gt;"",INDEX(Liste[EBTelefon3],zeilenindex),"_")</f>
        <v>_</v>
      </c>
      <c r="E27" t="str">
        <f>IF(INDEX(Liste[EBTelefon4],zeilenindex)&lt;&gt;"",INDEX(Liste[EBTelefon4],zeilenindex),"_")</f>
        <v>_</v>
      </c>
      <c r="G27" t="str">
        <f t="shared" si="0"/>
        <v>&lt;tr&gt;&lt;td&gt;2.Erz.Ber. Telefon&lt;/td&gt;&lt;td&gt;0999/898989898&lt;/td&gt;&lt;td&gt;0999/898989898&lt;/td&gt;&lt;td&gt;_&lt;/td&gt;&lt;td&gt;_&lt;/td&gt;&lt;/tr&gt;</v>
      </c>
      <c r="J27" t="str">
        <f t="shared" si="2"/>
        <v>=WENN(INDEX(Liste[EBPlzOrt];zeilenindex)&lt;&gt;"";INDEX(Liste[EBPlzOrt];zeilenindex);"_")</v>
      </c>
      <c r="K27" t="str">
        <f t="shared" si="1"/>
        <v>=WENN(INDEX(Liste[EBPlzOrt2];zeilenindex)&lt;&gt;"";INDEX(Liste[EBPlzOrt2];zeilenindex);"_")</v>
      </c>
      <c r="L27" t="str">
        <f t="shared" si="1"/>
        <v>=WENN(INDEX(Liste[EBPlzOrt3];zeilenindex)&lt;&gt;"";INDEX(Liste[EBPlzOrt3];zeilenindex);"_")</v>
      </c>
      <c r="M27" t="str">
        <f t="shared" si="1"/>
        <v>=WENN(INDEX(Liste[EBPlzOrt4];zeilenindex)&lt;&gt;"";INDEX(Liste[EBPlzOrt4];zeilenindex);"_")</v>
      </c>
      <c r="N27" t="s">
        <v>68</v>
      </c>
    </row>
    <row r="28" spans="1:14" x14ac:dyDescent="0.25">
      <c r="A28" t="s">
        <v>131</v>
      </c>
      <c r="B28" t="str">
        <f>IF(INDEX(Liste[EBEMail],zeilenindex)&lt;&gt;"",INDEX(Liste[EBEMail],zeilenindex),"_")</f>
        <v>hinzkunzpapa@muster.nix</v>
      </c>
      <c r="C28" t="str">
        <f>IF(INDEX(Liste[EBEMail2],zeilenindex)&lt;&gt;"",INDEX(Liste[EBEMail2],zeilenindex),"_")</f>
        <v>hinzkunzpapa@muster.nix</v>
      </c>
      <c r="D28" t="str">
        <f>IF(INDEX(Liste[EBEMail3],zeilenindex)&lt;&gt;"",INDEX(Liste[EBEMail3],zeilenindex),"_")</f>
        <v>_</v>
      </c>
      <c r="E28" t="str">
        <f>IF(INDEX(Liste[EBEMail4],zeilenindex)&lt;&gt;"",INDEX(Liste[EBEMail4],zeilenindex),"_")</f>
        <v>_</v>
      </c>
      <c r="G28" t="str">
        <f t="shared" si="0"/>
        <v>&lt;tr&gt;&lt;td&gt;2.Erz.Ber. EMail&lt;/td&gt;&lt;td&gt;hinzkunzpapa@muster.nix&lt;/td&gt;&lt;td&gt;hinzkunzpapa@muster.nix&lt;/td&gt;&lt;td&gt;_&lt;/td&gt;&lt;td&gt;_&lt;/td&gt;&lt;/tr&gt;&lt;/table&gt;</v>
      </c>
      <c r="J28" t="str">
        <f t="shared" si="2"/>
        <v>=WENN(INDEX(Liste[EBTelefon];zeilenindex)&lt;&gt;"";INDEX(Liste[EBTelefon];zeilenindex);"_")</v>
      </c>
      <c r="K28" t="str">
        <f t="shared" si="1"/>
        <v>=WENN(INDEX(Liste[EBTelefon2];zeilenindex)&lt;&gt;"";INDEX(Liste[EBTelefon2];zeilenindex);"_")</v>
      </c>
      <c r="L28" t="str">
        <f t="shared" si="1"/>
        <v>=WENN(INDEX(Liste[EBTelefon3];zeilenindex)&lt;&gt;"";INDEX(Liste[EBTelefon3];zeilenindex);"_")</v>
      </c>
      <c r="M28" t="str">
        <f t="shared" si="1"/>
        <v>=WENN(INDEX(Liste[EBTelefon4];zeilenindex)&lt;&gt;"";INDEX(Liste[EBTelefon4];zeilenindex);"_")</v>
      </c>
      <c r="N28" t="s">
        <v>69</v>
      </c>
    </row>
    <row r="29" spans="1:14" x14ac:dyDescent="0.25">
      <c r="G29" t="str">
        <f t="shared" si="0"/>
        <v>&lt;br&gt;</v>
      </c>
      <c r="J29" t="str">
        <f t="shared" si="2"/>
        <v>=WENN(INDEX(Liste[EBEMail];zeilenindex)&lt;&gt;"";INDEX(Liste[EBEMail];zeilenindex);"_")</v>
      </c>
      <c r="K29" t="str">
        <f t="shared" si="2"/>
        <v>=WENN(INDEX(Liste[EBEMail2];zeilenindex)&lt;&gt;"";INDEX(Liste[EBEMail2];zeilenindex);"_")</v>
      </c>
      <c r="L29" t="str">
        <f t="shared" si="2"/>
        <v>=WENN(INDEX(Liste[EBEMail3];zeilenindex)&lt;&gt;"";INDEX(Liste[EBEMail3];zeilenindex);"_")</v>
      </c>
      <c r="M29" t="str">
        <f t="shared" si="2"/>
        <v>=WENN(INDEX(Liste[EBEMail4];zeilenindex)&lt;&gt;"";INDEX(Liste[EBEMail4];zeilenindex);"_")</v>
      </c>
      <c r="N29" t="s">
        <v>70</v>
      </c>
    </row>
    <row r="30" spans="1:14" x14ac:dyDescent="0.25">
      <c r="A30" t="s">
        <v>119</v>
      </c>
      <c r="G30" t="str">
        <f t="shared" si="0"/>
        <v>Vielen Dank für die Mithilfe und Gut Pfad,&lt;br&gt;</v>
      </c>
    </row>
    <row r="31" spans="1:14" x14ac:dyDescent="0.25">
      <c r="A31" t="str">
        <f>IF(INDEX(Liste[Anrede],zeilenindex)="Familie","Eure ","Deine ")&amp;"Gruppenleiter und Mitglieder des Elternrats"</f>
        <v>Eure Gruppenleiter und Mitglieder des Elternrats</v>
      </c>
      <c r="G31" t="str">
        <f>IF(ROW(A31)=1,"&lt;style&gt;table, th, td {  border: 1px solid black;  border-collapse: collapse;} th, td { padding: 5px;} th {text-align: left;} &lt;/style&gt;"&amp;A31&amp;"&lt;br&gt;",IF(B31&lt;&gt;"",IF(A31="Mitglieder:","&lt;table&gt;&lt;tr&gt;&lt;th&gt;&lt;/th&gt;&lt;th&gt;"&amp;B31&amp;"&lt;/th&gt;"&amp;IF(C31&lt;&gt;"","&lt;th&gt;"&amp;C31&amp;"&lt;/th&gt;","")&amp;IF(D31&lt;&gt;"","&lt;th&gt;"&amp;D31&amp;"&lt;/th&gt;","")&amp;IF(E31&lt;&gt;"","&lt;th&gt;"&amp;E31&amp;"&lt;/th&gt;","")&amp;"&lt;/tr&gt;","&lt;tr&gt;&lt;td&gt;"&amp;A31&amp;"&lt;/td&gt;&lt;td&gt;"&amp;B31&amp;"&lt;/td&gt;"&amp;IF(C31&lt;&gt;"","&lt;td&gt;"&amp;C31&amp;"&lt;/td&gt;","")&amp;IF(D31&lt;&gt;"","&lt;td&gt;"&amp;D31&amp;"&lt;/td&gt;","")&amp;IF(E31&lt;&gt;"","&lt;td&gt;"&amp;E31&amp;"&lt;/td&gt;","")&amp;"&lt;/tr&gt;"&amp;IF(#REF!="","&lt;/table&gt;","")),A31&amp;"&lt;br&gt;"))</f>
        <v>Eure Gruppenleiter und Mitglieder des Elternrats&lt;br&gt;</v>
      </c>
    </row>
  </sheetData>
  <dataConsolidate/>
  <dataValidations count="1">
    <dataValidation type="list" allowBlank="1" showInputMessage="1" showErrorMessage="1" sqref="J7" xr:uid="{00000000-0002-0000-0000-000000000000}">
      <formula1>"Ja,Nein"</formula1>
    </dataValidation>
  </dataValidations>
  <pageMargins left="0.7" right="0.7" top="0.78740157499999996" bottom="0.78740157499999996" header="0.3" footer="0.3"/>
  <pageSetup paperSize="9" scale="8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vor">
                <anchor moveWithCells="1" sizeWithCells="1">
                  <from>
                    <xdr:col>8</xdr:col>
                    <xdr:colOff>714375</xdr:colOff>
                    <xdr:row>1</xdr:row>
                    <xdr:rowOff>28575</xdr:rowOff>
                  </from>
                  <to>
                    <xdr:col>9</xdr:col>
                    <xdr:colOff>352425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zurück">
                <anchor moveWithCells="1" sizeWithCells="1">
                  <from>
                    <xdr:col>8</xdr:col>
                    <xdr:colOff>142875</xdr:colOff>
                    <xdr:row>1</xdr:row>
                    <xdr:rowOff>28575</xdr:rowOff>
                  </from>
                  <to>
                    <xdr:col>8</xdr:col>
                    <xdr:colOff>647700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MailUndVor">
                <anchor moveWithCells="1" sizeWithCells="1">
                  <from>
                    <xdr:col>8</xdr:col>
                    <xdr:colOff>133350</xdr:colOff>
                    <xdr:row>1</xdr:row>
                    <xdr:rowOff>342900</xdr:rowOff>
                  </from>
                  <to>
                    <xdr:col>9</xdr:col>
                    <xdr:colOff>333375</xdr:colOff>
                    <xdr:row>1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D8"/>
  <sheetViews>
    <sheetView workbookViewId="0">
      <selection activeCell="B1" sqref="B1:B1048576"/>
    </sheetView>
  </sheetViews>
  <sheetFormatPr baseColWidth="10" defaultRowHeight="15" x14ac:dyDescent="0.25"/>
  <cols>
    <col min="1" max="1" width="26" bestFit="1" customWidth="1"/>
    <col min="3" max="3" width="13.7109375" customWidth="1"/>
  </cols>
  <sheetData>
    <row r="1" spans="1:4" x14ac:dyDescent="0.25">
      <c r="A1" t="s">
        <v>15</v>
      </c>
      <c r="B1" t="s">
        <v>52</v>
      </c>
    </row>
    <row r="2" spans="1:4" x14ac:dyDescent="0.25">
      <c r="A2" t="s">
        <v>0</v>
      </c>
      <c r="B2" t="s">
        <v>20</v>
      </c>
    </row>
    <row r="3" spans="1:4" x14ac:dyDescent="0.25">
      <c r="A3" t="s">
        <v>1</v>
      </c>
      <c r="B3" t="s">
        <v>21</v>
      </c>
      <c r="D3" s="18"/>
    </row>
    <row r="4" spans="1:4" x14ac:dyDescent="0.25">
      <c r="A4" t="s">
        <v>6</v>
      </c>
      <c r="B4" t="s">
        <v>22</v>
      </c>
    </row>
    <row r="5" spans="1:4" x14ac:dyDescent="0.25">
      <c r="A5" t="s">
        <v>12</v>
      </c>
      <c r="B5" t="s">
        <v>23</v>
      </c>
    </row>
    <row r="6" spans="1:4" x14ac:dyDescent="0.25">
      <c r="A6" t="s">
        <v>13</v>
      </c>
      <c r="B6">
        <v>123456789</v>
      </c>
    </row>
    <row r="7" spans="1:4" x14ac:dyDescent="0.25">
      <c r="A7" t="s">
        <v>14</v>
      </c>
      <c r="B7" t="s">
        <v>24</v>
      </c>
    </row>
    <row r="8" spans="1:4" x14ac:dyDescent="0.25">
      <c r="A8" t="s">
        <v>152</v>
      </c>
      <c r="B8" t="s">
        <v>153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importListe">
    <outlinePr summaryRight="0"/>
  </sheetPr>
  <dimension ref="A1:BZ70"/>
  <sheetViews>
    <sheetView workbookViewId="0">
      <pane ySplit="1" topLeftCell="A2" activePane="bottomLeft" state="frozen"/>
      <selection activeCell="K16" sqref="K16"/>
      <selection pane="bottomLeft" activeCell="A2" sqref="A2:BC6"/>
    </sheetView>
  </sheetViews>
  <sheetFormatPr baseColWidth="10" defaultRowHeight="15" outlineLevelCol="1" x14ac:dyDescent="0.25"/>
  <cols>
    <col min="1" max="1" width="9" customWidth="1"/>
    <col min="2" max="2" width="13.28515625" customWidth="1"/>
    <col min="3" max="4" width="15.28515625" customWidth="1"/>
    <col min="5" max="5" width="11" customWidth="1" collapsed="1"/>
    <col min="6" max="6" width="11.42578125" hidden="1" customWidth="1" outlineLevel="1"/>
    <col min="7" max="10" width="9.28515625" hidden="1" customWidth="1" outlineLevel="1"/>
    <col min="11" max="11" width="19.42578125" hidden="1" customWidth="1" outlineLevel="1"/>
    <col min="12" max="71" width="9.28515625" hidden="1" customWidth="1" outlineLevel="1"/>
    <col min="72" max="72" width="9.140625" hidden="1" customWidth="1" outlineLevel="1"/>
    <col min="73" max="73" width="10" customWidth="1"/>
  </cols>
  <sheetData>
    <row r="1" spans="1:78" x14ac:dyDescent="0.25">
      <c r="A1" t="s">
        <v>3</v>
      </c>
      <c r="B1" t="s">
        <v>2</v>
      </c>
      <c r="C1" t="s">
        <v>118</v>
      </c>
      <c r="D1" t="s">
        <v>120</v>
      </c>
      <c r="E1" s="7" t="s">
        <v>87</v>
      </c>
      <c r="F1" s="8" t="s">
        <v>88</v>
      </c>
      <c r="G1" t="s">
        <v>58</v>
      </c>
      <c r="H1" t="s">
        <v>59</v>
      </c>
      <c r="I1" t="s">
        <v>60</v>
      </c>
      <c r="J1" t="s">
        <v>37</v>
      </c>
      <c r="K1" t="s">
        <v>36</v>
      </c>
      <c r="L1" t="s">
        <v>61</v>
      </c>
      <c r="M1" t="s">
        <v>62</v>
      </c>
      <c r="N1" t="s">
        <v>63</v>
      </c>
      <c r="O1" t="s">
        <v>64</v>
      </c>
      <c r="P1" t="s">
        <v>65</v>
      </c>
      <c r="Q1" t="s">
        <v>66</v>
      </c>
      <c r="R1" t="s">
        <v>67</v>
      </c>
      <c r="S1" t="s">
        <v>68</v>
      </c>
      <c r="T1" t="s">
        <v>69</v>
      </c>
      <c r="U1" t="s">
        <v>70</v>
      </c>
      <c r="V1" s="7" t="s">
        <v>7</v>
      </c>
      <c r="W1" s="8" t="s">
        <v>73</v>
      </c>
      <c r="X1" t="s">
        <v>74</v>
      </c>
      <c r="Y1" t="s">
        <v>75</v>
      </c>
      <c r="Z1" t="s">
        <v>76</v>
      </c>
      <c r="AA1" t="s">
        <v>56</v>
      </c>
      <c r="AB1" t="s">
        <v>55</v>
      </c>
      <c r="AC1" t="s">
        <v>77</v>
      </c>
      <c r="AD1" t="s">
        <v>78</v>
      </c>
      <c r="AE1" t="s">
        <v>79</v>
      </c>
      <c r="AF1" t="s">
        <v>80</v>
      </c>
      <c r="AG1" t="s">
        <v>81</v>
      </c>
      <c r="AH1" t="s">
        <v>82</v>
      </c>
      <c r="AI1" t="s">
        <v>83</v>
      </c>
      <c r="AJ1" t="s">
        <v>84</v>
      </c>
      <c r="AK1" t="s">
        <v>71</v>
      </c>
      <c r="AL1" t="s">
        <v>72</v>
      </c>
      <c r="AM1" s="24" t="s">
        <v>8</v>
      </c>
      <c r="AN1" s="25" t="s">
        <v>90</v>
      </c>
      <c r="AO1" s="23" t="s">
        <v>91</v>
      </c>
      <c r="AP1" s="23" t="s">
        <v>92</v>
      </c>
      <c r="AQ1" s="23" t="s">
        <v>93</v>
      </c>
      <c r="AR1" s="23" t="s">
        <v>57</v>
      </c>
      <c r="AS1" s="23" t="s">
        <v>89</v>
      </c>
      <c r="AT1" s="23" t="s">
        <v>94</v>
      </c>
      <c r="AU1" s="23" t="s">
        <v>95</v>
      </c>
      <c r="AV1" s="23" t="s">
        <v>96</v>
      </c>
      <c r="AW1" s="23" t="s">
        <v>97</v>
      </c>
      <c r="AX1" s="23" t="s">
        <v>98</v>
      </c>
      <c r="AY1" s="23" t="s">
        <v>99</v>
      </c>
      <c r="AZ1" s="23" t="s">
        <v>100</v>
      </c>
      <c r="BA1" s="23" t="s">
        <v>101</v>
      </c>
      <c r="BB1" s="23" t="s">
        <v>85</v>
      </c>
      <c r="BC1" s="23" t="s">
        <v>86</v>
      </c>
      <c r="BD1" s="24" t="s">
        <v>9</v>
      </c>
      <c r="BE1" s="25" t="s">
        <v>104</v>
      </c>
      <c r="BF1" s="23" t="s">
        <v>105</v>
      </c>
      <c r="BG1" s="23" t="s">
        <v>106</v>
      </c>
      <c r="BH1" s="23" t="s">
        <v>107</v>
      </c>
      <c r="BI1" s="23" t="s">
        <v>108</v>
      </c>
      <c r="BJ1" s="23" t="s">
        <v>109</v>
      </c>
      <c r="BK1" s="23" t="s">
        <v>110</v>
      </c>
      <c r="BL1" s="23" t="s">
        <v>111</v>
      </c>
      <c r="BM1" s="23" t="s">
        <v>112</v>
      </c>
      <c r="BN1" s="23" t="s">
        <v>113</v>
      </c>
      <c r="BO1" s="23" t="s">
        <v>114</v>
      </c>
      <c r="BP1" s="23" t="s">
        <v>115</v>
      </c>
      <c r="BQ1" s="23" t="s">
        <v>116</v>
      </c>
      <c r="BR1" s="23" t="s">
        <v>117</v>
      </c>
      <c r="BS1" s="23" t="s">
        <v>102</v>
      </c>
      <c r="BT1" s="23" t="s">
        <v>103</v>
      </c>
      <c r="BV1" s="3"/>
      <c r="BX1" s="5" t="s">
        <v>51</v>
      </c>
    </row>
    <row r="2" spans="1:78" ht="13.5" customHeight="1" x14ac:dyDescent="0.25">
      <c r="A2" s="10" t="s">
        <v>4</v>
      </c>
      <c r="B2" s="11" t="s">
        <v>17</v>
      </c>
      <c r="C2" t="s">
        <v>43</v>
      </c>
      <c r="D2">
        <v>2</v>
      </c>
      <c r="E2" s="12" t="s">
        <v>30</v>
      </c>
      <c r="F2" s="11" t="s">
        <v>17</v>
      </c>
      <c r="G2" s="11" t="s">
        <v>133</v>
      </c>
      <c r="H2" s="11">
        <v>4711</v>
      </c>
      <c r="I2" s="11" t="s">
        <v>134</v>
      </c>
      <c r="J2" s="11" t="s">
        <v>38</v>
      </c>
      <c r="K2" t="s">
        <v>147</v>
      </c>
      <c r="L2" s="11" t="s">
        <v>139</v>
      </c>
      <c r="M2" s="11" t="s">
        <v>133</v>
      </c>
      <c r="N2" s="11" t="s">
        <v>140</v>
      </c>
      <c r="O2" s="11" t="s">
        <v>141</v>
      </c>
      <c r="P2" t="s">
        <v>43</v>
      </c>
      <c r="Q2" s="11" t="s">
        <v>143</v>
      </c>
      <c r="R2" s="11" t="s">
        <v>133</v>
      </c>
      <c r="S2" s="11" t="s">
        <v>140</v>
      </c>
      <c r="T2" s="11" t="s">
        <v>141</v>
      </c>
      <c r="U2" t="s">
        <v>144</v>
      </c>
      <c r="V2" s="12" t="s">
        <v>31</v>
      </c>
      <c r="W2" s="11" t="s">
        <v>17</v>
      </c>
      <c r="X2" s="11" t="s">
        <v>133</v>
      </c>
      <c r="Y2" s="11">
        <v>4711</v>
      </c>
      <c r="Z2" s="11" t="s">
        <v>134</v>
      </c>
      <c r="AA2" s="11" t="s">
        <v>38</v>
      </c>
      <c r="AB2" t="s">
        <v>148</v>
      </c>
      <c r="AC2" s="11" t="s">
        <v>139</v>
      </c>
      <c r="AD2" s="11" t="s">
        <v>133</v>
      </c>
      <c r="AE2" s="11" t="s">
        <v>140</v>
      </c>
      <c r="AF2" s="11" t="s">
        <v>141</v>
      </c>
      <c r="AG2" t="s">
        <v>43</v>
      </c>
      <c r="AH2" s="11" t="s">
        <v>143</v>
      </c>
      <c r="AI2" s="11" t="s">
        <v>133</v>
      </c>
      <c r="AJ2" s="11" t="s">
        <v>140</v>
      </c>
      <c r="AK2" s="11" t="s">
        <v>141</v>
      </c>
      <c r="AL2" t="s">
        <v>144</v>
      </c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3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</row>
    <row r="3" spans="1:78" ht="13.5" customHeight="1" x14ac:dyDescent="0.25">
      <c r="A3" s="14" t="s">
        <v>5</v>
      </c>
      <c r="B3" s="15" t="s">
        <v>18</v>
      </c>
      <c r="C3" t="s">
        <v>44</v>
      </c>
      <c r="D3">
        <v>1</v>
      </c>
      <c r="E3" s="16" t="s">
        <v>26</v>
      </c>
      <c r="F3" s="15" t="s">
        <v>18</v>
      </c>
      <c r="G3" s="15" t="s">
        <v>135</v>
      </c>
      <c r="H3" s="11">
        <v>4711</v>
      </c>
      <c r="I3" s="11" t="s">
        <v>134</v>
      </c>
      <c r="J3" s="15" t="s">
        <v>39</v>
      </c>
      <c r="K3" t="s">
        <v>44</v>
      </c>
      <c r="L3" s="15"/>
      <c r="M3" s="15"/>
      <c r="N3" s="15"/>
      <c r="O3" s="15"/>
      <c r="P3" s="15"/>
      <c r="Q3" s="15"/>
      <c r="R3" s="15"/>
      <c r="S3" s="15"/>
      <c r="T3" s="15"/>
      <c r="U3" s="17"/>
      <c r="V3" s="16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6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7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</row>
    <row r="4" spans="1:78" ht="13.5" customHeight="1" x14ac:dyDescent="0.25">
      <c r="A4" s="10" t="s">
        <v>10</v>
      </c>
      <c r="B4" s="11" t="s">
        <v>19</v>
      </c>
      <c r="C4" t="s">
        <v>45</v>
      </c>
      <c r="D4">
        <v>1</v>
      </c>
      <c r="E4" s="12" t="s">
        <v>27</v>
      </c>
      <c r="F4" s="15" t="s">
        <v>19</v>
      </c>
      <c r="G4" s="11" t="s">
        <v>136</v>
      </c>
      <c r="H4" s="11">
        <v>4711</v>
      </c>
      <c r="I4" s="11" t="s">
        <v>134</v>
      </c>
      <c r="J4" s="11" t="s">
        <v>40</v>
      </c>
      <c r="K4" t="s">
        <v>45</v>
      </c>
      <c r="L4" s="11"/>
      <c r="M4" s="11"/>
      <c r="N4" s="11"/>
      <c r="O4" s="11"/>
      <c r="P4" s="11"/>
      <c r="Q4" s="11"/>
      <c r="R4" s="11"/>
      <c r="S4" s="11"/>
      <c r="T4" s="11"/>
      <c r="U4" s="13"/>
      <c r="V4" s="12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2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3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V4" t="s">
        <v>25</v>
      </c>
    </row>
    <row r="5" spans="1:78" ht="13.5" customHeight="1" x14ac:dyDescent="0.25">
      <c r="A5" s="14" t="s">
        <v>4</v>
      </c>
      <c r="B5" s="15" t="s">
        <v>34</v>
      </c>
      <c r="C5" t="s">
        <v>47</v>
      </c>
      <c r="D5">
        <v>2</v>
      </c>
      <c r="E5" s="12" t="s">
        <v>28</v>
      </c>
      <c r="F5" s="11" t="s">
        <v>34</v>
      </c>
      <c r="G5" s="11" t="s">
        <v>137</v>
      </c>
      <c r="H5" s="11">
        <v>4711</v>
      </c>
      <c r="I5" s="11" t="s">
        <v>134</v>
      </c>
      <c r="J5" s="15" t="s">
        <v>41</v>
      </c>
      <c r="K5" t="s">
        <v>146</v>
      </c>
      <c r="L5" s="11" t="s">
        <v>139</v>
      </c>
      <c r="M5" s="11" t="s">
        <v>137</v>
      </c>
      <c r="N5" s="11" t="s">
        <v>140</v>
      </c>
      <c r="O5" s="11" t="s">
        <v>142</v>
      </c>
      <c r="P5" t="s">
        <v>47</v>
      </c>
      <c r="Q5" s="11" t="s">
        <v>143</v>
      </c>
      <c r="R5" s="11" t="s">
        <v>137</v>
      </c>
      <c r="S5" s="11" t="s">
        <v>140</v>
      </c>
      <c r="T5" s="11" t="s">
        <v>142</v>
      </c>
      <c r="U5" t="s">
        <v>145</v>
      </c>
      <c r="V5" s="12" t="s">
        <v>29</v>
      </c>
      <c r="W5" s="11" t="s">
        <v>34</v>
      </c>
      <c r="X5" s="11" t="s">
        <v>137</v>
      </c>
      <c r="Y5" s="11">
        <v>4711</v>
      </c>
      <c r="Z5" s="11" t="s">
        <v>134</v>
      </c>
      <c r="AA5" s="15" t="s">
        <v>41</v>
      </c>
      <c r="AB5" t="s">
        <v>149</v>
      </c>
      <c r="AC5" s="11" t="s">
        <v>139</v>
      </c>
      <c r="AD5" s="11" t="s">
        <v>137</v>
      </c>
      <c r="AE5" s="11" t="s">
        <v>140</v>
      </c>
      <c r="AF5" s="11" t="s">
        <v>142</v>
      </c>
      <c r="AG5" t="s">
        <v>47</v>
      </c>
      <c r="AH5" s="11" t="s">
        <v>143</v>
      </c>
      <c r="AI5" s="11" t="s">
        <v>137</v>
      </c>
      <c r="AJ5" s="11" t="s">
        <v>140</v>
      </c>
      <c r="AK5" s="11" t="s">
        <v>142</v>
      </c>
      <c r="AL5" t="s">
        <v>145</v>
      </c>
      <c r="AM5" s="11"/>
      <c r="AN5" s="11"/>
      <c r="AO5" s="11"/>
      <c r="AP5" s="11"/>
      <c r="AQ5" s="11"/>
      <c r="AR5" s="11"/>
      <c r="AS5" s="11"/>
      <c r="AT5" s="15"/>
      <c r="AU5" s="15"/>
      <c r="AV5" s="15"/>
      <c r="AW5" s="15"/>
      <c r="AX5" s="15"/>
      <c r="AY5" s="15"/>
      <c r="AZ5" s="15"/>
      <c r="BA5" s="15"/>
      <c r="BB5" s="15"/>
      <c r="BC5" s="17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V5" s="5" t="s">
        <v>35</v>
      </c>
    </row>
    <row r="6" spans="1:78" ht="13.5" customHeight="1" x14ac:dyDescent="0.25">
      <c r="A6" s="10" t="s">
        <v>4</v>
      </c>
      <c r="B6" s="11" t="s">
        <v>32</v>
      </c>
      <c r="C6" t="s">
        <v>46</v>
      </c>
      <c r="E6" s="12" t="s">
        <v>33</v>
      </c>
      <c r="F6" s="15" t="s">
        <v>32</v>
      </c>
      <c r="G6" s="11" t="s">
        <v>138</v>
      </c>
      <c r="H6" s="11">
        <v>4711</v>
      </c>
      <c r="I6" s="11" t="s">
        <v>134</v>
      </c>
      <c r="J6" s="11" t="s">
        <v>42</v>
      </c>
      <c r="K6" t="s">
        <v>46</v>
      </c>
      <c r="L6" s="11"/>
      <c r="M6" s="11"/>
      <c r="N6" s="11"/>
      <c r="O6" s="11"/>
      <c r="P6" s="11"/>
      <c r="Q6" s="11"/>
      <c r="R6" s="11"/>
      <c r="S6" s="11"/>
      <c r="T6" s="11"/>
      <c r="U6" s="13"/>
      <c r="V6" s="12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2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3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</row>
    <row r="7" spans="1:78" ht="13.5" customHeight="1" x14ac:dyDescent="0.25">
      <c r="E7" s="9"/>
    </row>
    <row r="8" spans="1:78" ht="13.5" customHeight="1" x14ac:dyDescent="0.25">
      <c r="E8" s="9"/>
      <c r="BV8" t="s">
        <v>16</v>
      </c>
    </row>
    <row r="9" spans="1:78" ht="13.5" customHeight="1" x14ac:dyDescent="0.25">
      <c r="E9" s="9"/>
      <c r="BZ9" s="3"/>
    </row>
    <row r="10" spans="1:78" ht="13.5" customHeight="1" x14ac:dyDescent="0.25">
      <c r="E10" s="9"/>
    </row>
    <row r="11" spans="1:78" ht="13.5" customHeight="1" x14ac:dyDescent="0.25">
      <c r="A11" s="20"/>
      <c r="B11" s="20"/>
      <c r="C11" s="20"/>
      <c r="D11" s="20"/>
      <c r="E11" s="21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</row>
    <row r="12" spans="1:78" ht="13.5" customHeight="1" x14ac:dyDescent="0.25">
      <c r="E12" s="9"/>
    </row>
    <row r="13" spans="1:78" ht="13.5" customHeight="1" x14ac:dyDescent="0.25">
      <c r="E13" s="9"/>
    </row>
    <row r="14" spans="1:78" ht="13.5" customHeight="1" x14ac:dyDescent="0.25">
      <c r="E14" s="9"/>
    </row>
    <row r="15" spans="1:78" ht="13.5" customHeight="1" x14ac:dyDescent="0.25">
      <c r="E15" s="9"/>
    </row>
    <row r="16" spans="1:78" ht="13.5" customHeight="1" x14ac:dyDescent="0.25">
      <c r="E16" s="9"/>
    </row>
    <row r="17" spans="1:72" ht="13.5" customHeight="1" x14ac:dyDescent="0.25">
      <c r="E17" s="9"/>
    </row>
    <row r="18" spans="1:72" ht="13.5" customHeight="1" x14ac:dyDescent="0.25">
      <c r="E18" s="9"/>
    </row>
    <row r="19" spans="1:72" ht="13.5" customHeight="1" x14ac:dyDescent="0.25">
      <c r="E19" s="9"/>
    </row>
    <row r="20" spans="1:72" ht="13.5" customHeight="1" x14ac:dyDescent="0.25">
      <c r="E20" s="9"/>
    </row>
    <row r="21" spans="1:72" ht="13.5" customHeight="1" x14ac:dyDescent="0.25">
      <c r="E21" s="9"/>
    </row>
    <row r="22" spans="1:72" ht="13.5" customHeight="1" x14ac:dyDescent="0.25">
      <c r="E22" s="9"/>
    </row>
    <row r="23" spans="1:72" ht="13.5" customHeight="1" x14ac:dyDescent="0.25">
      <c r="E23" s="9"/>
    </row>
    <row r="24" spans="1:72" ht="13.5" customHeight="1" x14ac:dyDescent="0.25">
      <c r="A24" s="20"/>
      <c r="B24" s="20"/>
      <c r="E24" s="21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</row>
    <row r="25" spans="1:72" ht="13.5" customHeight="1" x14ac:dyDescent="0.25">
      <c r="A25" s="20"/>
      <c r="B25" s="20"/>
      <c r="E25" s="21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</row>
    <row r="26" spans="1:72" ht="13.5" customHeight="1" x14ac:dyDescent="0.25">
      <c r="E26" s="9"/>
    </row>
    <row r="27" spans="1:72" ht="13.5" customHeight="1" x14ac:dyDescent="0.25">
      <c r="E27" s="9"/>
    </row>
    <row r="28" spans="1:72" ht="13.5" customHeight="1" x14ac:dyDescent="0.25">
      <c r="A28" s="20"/>
      <c r="B28" s="20"/>
      <c r="E28" s="21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</row>
    <row r="29" spans="1:72" ht="13.5" customHeight="1" x14ac:dyDescent="0.25">
      <c r="E29" s="9"/>
    </row>
    <row r="30" spans="1:72" ht="13.5" customHeight="1" x14ac:dyDescent="0.25">
      <c r="E30" s="9"/>
    </row>
    <row r="31" spans="1:72" ht="13.5" customHeight="1" x14ac:dyDescent="0.25">
      <c r="E31" s="9"/>
    </row>
    <row r="32" spans="1:72" ht="13.5" customHeight="1" x14ac:dyDescent="0.25">
      <c r="E32" s="9"/>
    </row>
    <row r="33" spans="5:5" ht="13.5" customHeight="1" x14ac:dyDescent="0.25">
      <c r="E33" s="9"/>
    </row>
    <row r="34" spans="5:5" ht="13.5" customHeight="1" x14ac:dyDescent="0.25">
      <c r="E34" s="9"/>
    </row>
    <row r="35" spans="5:5" ht="13.5" customHeight="1" x14ac:dyDescent="0.25">
      <c r="E35" s="9"/>
    </row>
    <row r="36" spans="5:5" ht="13.5" customHeight="1" x14ac:dyDescent="0.25">
      <c r="E36" s="9"/>
    </row>
    <row r="37" spans="5:5" ht="13.5" customHeight="1" x14ac:dyDescent="0.25">
      <c r="E37" s="9"/>
    </row>
    <row r="38" spans="5:5" ht="13.5" customHeight="1" x14ac:dyDescent="0.25">
      <c r="E38" s="9"/>
    </row>
    <row r="39" spans="5:5" ht="13.5" customHeight="1" x14ac:dyDescent="0.25">
      <c r="E39" s="9"/>
    </row>
    <row r="40" spans="5:5" ht="13.5" customHeight="1" x14ac:dyDescent="0.25">
      <c r="E40" s="9"/>
    </row>
    <row r="41" spans="5:5" ht="13.5" customHeight="1" x14ac:dyDescent="0.25">
      <c r="E41" s="9"/>
    </row>
    <row r="42" spans="5:5" ht="13.5" customHeight="1" x14ac:dyDescent="0.25">
      <c r="E42" s="9"/>
    </row>
    <row r="43" spans="5:5" ht="13.5" customHeight="1" x14ac:dyDescent="0.25">
      <c r="E43" s="9"/>
    </row>
    <row r="44" spans="5:5" ht="13.5" customHeight="1" x14ac:dyDescent="0.25">
      <c r="E44" s="9"/>
    </row>
    <row r="45" spans="5:5" ht="13.5" customHeight="1" x14ac:dyDescent="0.25">
      <c r="E45" s="9"/>
    </row>
    <row r="46" spans="5:5" ht="13.5" customHeight="1" x14ac:dyDescent="0.25">
      <c r="E46" s="9"/>
    </row>
    <row r="47" spans="5:5" ht="13.5" customHeight="1" x14ac:dyDescent="0.25">
      <c r="E47" s="9"/>
    </row>
    <row r="48" spans="5:5" ht="13.5" customHeight="1" x14ac:dyDescent="0.25">
      <c r="E48" s="9"/>
    </row>
    <row r="49" spans="5:5" ht="13.5" customHeight="1" x14ac:dyDescent="0.25">
      <c r="E49" s="9"/>
    </row>
    <row r="50" spans="5:5" ht="13.5" customHeight="1" x14ac:dyDescent="0.25">
      <c r="E50" s="9"/>
    </row>
    <row r="51" spans="5:5" ht="13.5" customHeight="1" x14ac:dyDescent="0.25">
      <c r="E51" s="9"/>
    </row>
    <row r="52" spans="5:5" ht="13.5" customHeight="1" x14ac:dyDescent="0.25">
      <c r="E52" s="9"/>
    </row>
    <row r="53" spans="5:5" ht="13.5" customHeight="1" x14ac:dyDescent="0.25">
      <c r="E53" s="9"/>
    </row>
    <row r="54" spans="5:5" ht="13.5" customHeight="1" x14ac:dyDescent="0.25">
      <c r="E54" s="9"/>
    </row>
    <row r="55" spans="5:5" ht="13.5" customHeight="1" x14ac:dyDescent="0.25">
      <c r="E55" s="9"/>
    </row>
    <row r="56" spans="5:5" ht="13.5" customHeight="1" x14ac:dyDescent="0.25">
      <c r="E56" s="9"/>
    </row>
    <row r="57" spans="5:5" ht="13.5" customHeight="1" x14ac:dyDescent="0.25">
      <c r="E57" s="9"/>
    </row>
    <row r="58" spans="5:5" ht="13.5" customHeight="1" x14ac:dyDescent="0.25">
      <c r="E58" s="9"/>
    </row>
    <row r="59" spans="5:5" ht="13.5" customHeight="1" x14ac:dyDescent="0.25">
      <c r="E59" s="9"/>
    </row>
    <row r="60" spans="5:5" ht="13.5" customHeight="1" x14ac:dyDescent="0.25">
      <c r="E60" s="9"/>
    </row>
    <row r="61" spans="5:5" ht="13.5" customHeight="1" x14ac:dyDescent="0.25">
      <c r="E61" s="9"/>
    </row>
    <row r="62" spans="5:5" ht="13.5" customHeight="1" x14ac:dyDescent="0.25">
      <c r="E62" s="9"/>
    </row>
    <row r="63" spans="5:5" ht="13.5" customHeight="1" x14ac:dyDescent="0.25">
      <c r="E63" s="9"/>
    </row>
    <row r="64" spans="5:5" ht="13.5" customHeight="1" x14ac:dyDescent="0.25">
      <c r="E64" s="9"/>
    </row>
    <row r="65" spans="5:5" x14ac:dyDescent="0.25">
      <c r="E65" s="9"/>
    </row>
    <row r="66" spans="5:5" x14ac:dyDescent="0.25">
      <c r="E66" s="9"/>
    </row>
    <row r="67" spans="5:5" x14ac:dyDescent="0.25">
      <c r="E67" s="9"/>
    </row>
    <row r="68" spans="5:5" x14ac:dyDescent="0.25">
      <c r="E68" s="9"/>
    </row>
    <row r="69" spans="5:5" x14ac:dyDescent="0.25">
      <c r="E69" s="9"/>
    </row>
    <row r="70" spans="5:5" x14ac:dyDescent="0.25">
      <c r="E70" s="9"/>
    </row>
  </sheetData>
  <phoneticPr fontId="9" type="noConversion"/>
  <dataValidations count="1">
    <dataValidation type="list" allowBlank="1" showInputMessage="1" showErrorMessage="1" sqref="BV5" xr:uid="{00000000-0002-0000-0200-000000000000}">
      <formula1>"Nachname/Plz,Strasse/Plz"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dul1.DatenÜbernehmen">
                <anchor moveWithCells="1" sizeWithCells="1">
                  <from>
                    <xdr:col>73</xdr:col>
                    <xdr:colOff>9525</xdr:colOff>
                    <xdr:row>0</xdr:row>
                    <xdr:rowOff>0</xdr:rowOff>
                  </from>
                  <to>
                    <xdr:col>75</xdr:col>
                    <xdr:colOff>28575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inGitSpeichern">
                <anchor moveWithCells="1" sizeWithCells="1">
                  <from>
                    <xdr:col>73</xdr:col>
                    <xdr:colOff>0</xdr:colOff>
                    <xdr:row>5</xdr:row>
                    <xdr:rowOff>161925</xdr:rowOff>
                  </from>
                  <to>
                    <xdr:col>75</xdr:col>
                    <xdr:colOff>142875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BF8"/>
  <sheetViews>
    <sheetView workbookViewId="0">
      <selection activeCell="B8" sqref="B8"/>
    </sheetView>
  </sheetViews>
  <sheetFormatPr baseColWidth="10" defaultRowHeight="15" customHeight="1" x14ac:dyDescent="0.25"/>
  <cols>
    <col min="1" max="1" width="26" bestFit="1" customWidth="1"/>
    <col min="5" max="5" width="18.42578125" bestFit="1" customWidth="1"/>
    <col min="6" max="6" width="29.140625" customWidth="1"/>
    <col min="7" max="7" width="10.7109375" customWidth="1"/>
  </cols>
  <sheetData>
    <row r="1" spans="1:58" ht="15" customHeight="1" x14ac:dyDescent="0.25">
      <c r="A1" t="s">
        <v>49</v>
      </c>
      <c r="B1" t="s">
        <v>52</v>
      </c>
      <c r="D1" s="10" t="s">
        <v>4</v>
      </c>
      <c r="E1" s="11" t="s">
        <v>17</v>
      </c>
      <c r="F1" t="s">
        <v>43</v>
      </c>
      <c r="G1">
        <v>2</v>
      </c>
      <c r="H1" s="12" t="s">
        <v>30</v>
      </c>
      <c r="I1" s="11" t="s">
        <v>17</v>
      </c>
      <c r="J1" s="11" t="s">
        <v>133</v>
      </c>
      <c r="K1" s="11">
        <v>4711</v>
      </c>
      <c r="L1" s="11" t="s">
        <v>134</v>
      </c>
      <c r="M1" s="11" t="s">
        <v>38</v>
      </c>
      <c r="N1" t="s">
        <v>147</v>
      </c>
      <c r="O1" s="11" t="s">
        <v>139</v>
      </c>
      <c r="P1" s="11" t="s">
        <v>133</v>
      </c>
      <c r="Q1" s="11" t="s">
        <v>140</v>
      </c>
      <c r="R1" s="11" t="s">
        <v>141</v>
      </c>
      <c r="S1" t="s">
        <v>43</v>
      </c>
      <c r="T1" s="11" t="s">
        <v>143</v>
      </c>
      <c r="U1" s="11" t="s">
        <v>133</v>
      </c>
      <c r="V1" s="11" t="s">
        <v>140</v>
      </c>
      <c r="W1" s="11" t="s">
        <v>141</v>
      </c>
      <c r="X1" t="s">
        <v>144</v>
      </c>
      <c r="Y1" s="12" t="s">
        <v>31</v>
      </c>
      <c r="Z1" s="11" t="s">
        <v>17</v>
      </c>
      <c r="AA1" s="11" t="s">
        <v>133</v>
      </c>
      <c r="AB1" s="11">
        <v>4711</v>
      </c>
      <c r="AC1" s="11" t="s">
        <v>134</v>
      </c>
      <c r="AD1" s="11" t="s">
        <v>38</v>
      </c>
      <c r="AE1" t="s">
        <v>148</v>
      </c>
      <c r="AF1" s="11" t="s">
        <v>139</v>
      </c>
      <c r="AG1" s="11" t="s">
        <v>133</v>
      </c>
      <c r="AH1" s="11" t="s">
        <v>140</v>
      </c>
      <c r="AI1" s="11" t="s">
        <v>141</v>
      </c>
      <c r="AJ1" t="s">
        <v>43</v>
      </c>
      <c r="AK1" s="11" t="s">
        <v>143</v>
      </c>
      <c r="AL1" s="11" t="s">
        <v>133</v>
      </c>
      <c r="AM1" s="11" t="s">
        <v>140</v>
      </c>
      <c r="AN1" s="11" t="s">
        <v>141</v>
      </c>
      <c r="AO1" t="s">
        <v>144</v>
      </c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3"/>
    </row>
    <row r="2" spans="1:58" ht="15" customHeight="1" x14ac:dyDescent="0.25">
      <c r="A2" t="s">
        <v>0</v>
      </c>
      <c r="B2" t="s">
        <v>20</v>
      </c>
      <c r="D2" s="14" t="s">
        <v>5</v>
      </c>
      <c r="E2" s="15" t="s">
        <v>18</v>
      </c>
      <c r="F2" t="s">
        <v>44</v>
      </c>
      <c r="G2">
        <v>1</v>
      </c>
      <c r="H2" s="16" t="s">
        <v>26</v>
      </c>
      <c r="I2" s="15" t="s">
        <v>18</v>
      </c>
      <c r="J2" s="15" t="s">
        <v>135</v>
      </c>
      <c r="K2" s="11">
        <v>4711</v>
      </c>
      <c r="L2" s="11" t="s">
        <v>134</v>
      </c>
      <c r="M2" s="15" t="s">
        <v>39</v>
      </c>
      <c r="N2" t="s">
        <v>44</v>
      </c>
      <c r="O2" s="15"/>
      <c r="P2" s="15"/>
      <c r="Q2" s="15"/>
      <c r="R2" s="15"/>
      <c r="S2" s="15"/>
      <c r="T2" s="15"/>
      <c r="U2" s="15"/>
      <c r="V2" s="15"/>
      <c r="W2" s="15"/>
      <c r="X2" s="17"/>
      <c r="Y2" s="16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6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7"/>
    </row>
    <row r="3" spans="1:58" ht="15" customHeight="1" x14ac:dyDescent="0.25">
      <c r="A3" t="s">
        <v>1</v>
      </c>
      <c r="B3" t="s">
        <v>21</v>
      </c>
      <c r="D3" s="10" t="s">
        <v>10</v>
      </c>
      <c r="E3" s="11" t="s">
        <v>19</v>
      </c>
      <c r="F3" t="s">
        <v>45</v>
      </c>
      <c r="G3">
        <v>1</v>
      </c>
      <c r="H3" s="12" t="s">
        <v>27</v>
      </c>
      <c r="I3" s="15" t="s">
        <v>19</v>
      </c>
      <c r="J3" s="11" t="s">
        <v>136</v>
      </c>
      <c r="K3" s="11">
        <v>4711</v>
      </c>
      <c r="L3" s="11" t="s">
        <v>134</v>
      </c>
      <c r="M3" s="11" t="s">
        <v>40</v>
      </c>
      <c r="N3" t="s">
        <v>45</v>
      </c>
      <c r="O3" s="11"/>
      <c r="P3" s="11"/>
      <c r="Q3" s="11"/>
      <c r="R3" s="11"/>
      <c r="S3" s="11"/>
      <c r="T3" s="11"/>
      <c r="U3" s="11"/>
      <c r="V3" s="11"/>
      <c r="W3" s="11"/>
      <c r="X3" s="13"/>
      <c r="Y3" s="12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2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3"/>
    </row>
    <row r="4" spans="1:58" ht="15" customHeight="1" x14ac:dyDescent="0.25">
      <c r="A4" t="s">
        <v>6</v>
      </c>
      <c r="B4" t="s">
        <v>22</v>
      </c>
      <c r="D4" s="14" t="s">
        <v>4</v>
      </c>
      <c r="E4" s="15" t="s">
        <v>34</v>
      </c>
      <c r="F4" t="s">
        <v>47</v>
      </c>
      <c r="G4">
        <v>2</v>
      </c>
      <c r="H4" s="12" t="s">
        <v>28</v>
      </c>
      <c r="I4" s="11" t="s">
        <v>34</v>
      </c>
      <c r="J4" s="11" t="s">
        <v>137</v>
      </c>
      <c r="K4" s="11">
        <v>4711</v>
      </c>
      <c r="L4" s="11" t="s">
        <v>134</v>
      </c>
      <c r="M4" s="15" t="s">
        <v>41</v>
      </c>
      <c r="N4" t="s">
        <v>146</v>
      </c>
      <c r="O4" s="11" t="s">
        <v>139</v>
      </c>
      <c r="P4" s="11" t="s">
        <v>137</v>
      </c>
      <c r="Q4" s="11" t="s">
        <v>140</v>
      </c>
      <c r="R4" s="11" t="s">
        <v>142</v>
      </c>
      <c r="S4" t="s">
        <v>47</v>
      </c>
      <c r="T4" s="11" t="s">
        <v>143</v>
      </c>
      <c r="U4" s="11" t="s">
        <v>137</v>
      </c>
      <c r="V4" s="11" t="s">
        <v>140</v>
      </c>
      <c r="W4" s="11" t="s">
        <v>142</v>
      </c>
      <c r="X4" t="s">
        <v>145</v>
      </c>
      <c r="Y4" s="12" t="s">
        <v>29</v>
      </c>
      <c r="Z4" s="11" t="s">
        <v>34</v>
      </c>
      <c r="AA4" s="11" t="s">
        <v>137</v>
      </c>
      <c r="AB4" s="11">
        <v>4711</v>
      </c>
      <c r="AC4" s="11" t="s">
        <v>134</v>
      </c>
      <c r="AD4" s="15" t="s">
        <v>41</v>
      </c>
      <c r="AE4" t="s">
        <v>149</v>
      </c>
      <c r="AF4" s="11" t="s">
        <v>139</v>
      </c>
      <c r="AG4" s="11" t="s">
        <v>137</v>
      </c>
      <c r="AH4" s="11" t="s">
        <v>140</v>
      </c>
      <c r="AI4" s="11" t="s">
        <v>142</v>
      </c>
      <c r="AJ4" t="s">
        <v>47</v>
      </c>
      <c r="AK4" s="11" t="s">
        <v>143</v>
      </c>
      <c r="AL4" s="11" t="s">
        <v>137</v>
      </c>
      <c r="AM4" s="11" t="s">
        <v>140</v>
      </c>
      <c r="AN4" s="11" t="s">
        <v>142</v>
      </c>
      <c r="AO4" t="s">
        <v>145</v>
      </c>
      <c r="AP4" s="11"/>
      <c r="AQ4" s="11"/>
      <c r="AR4" s="11"/>
      <c r="AS4" s="11"/>
      <c r="AT4" s="11"/>
      <c r="AU4" s="11"/>
      <c r="AV4" s="11"/>
      <c r="AW4" s="15"/>
      <c r="AX4" s="15"/>
      <c r="AY4" s="15"/>
      <c r="AZ4" s="15"/>
      <c r="BA4" s="15"/>
      <c r="BB4" s="15"/>
      <c r="BC4" s="15"/>
      <c r="BD4" s="15"/>
      <c r="BE4" s="15"/>
      <c r="BF4" s="17"/>
    </row>
    <row r="5" spans="1:58" ht="15" customHeight="1" x14ac:dyDescent="0.25">
      <c r="A5" t="s">
        <v>12</v>
      </c>
      <c r="B5" t="s">
        <v>23</v>
      </c>
      <c r="D5" s="10" t="s">
        <v>4</v>
      </c>
      <c r="E5" s="11" t="s">
        <v>32</v>
      </c>
      <c r="F5" t="s">
        <v>46</v>
      </c>
      <c r="H5" s="12" t="s">
        <v>33</v>
      </c>
      <c r="I5" s="15" t="s">
        <v>32</v>
      </c>
      <c r="J5" s="11" t="s">
        <v>138</v>
      </c>
      <c r="K5" s="11">
        <v>4711</v>
      </c>
      <c r="L5" s="11" t="s">
        <v>134</v>
      </c>
      <c r="M5" s="11" t="s">
        <v>42</v>
      </c>
      <c r="N5" t="s">
        <v>46</v>
      </c>
      <c r="O5" s="11"/>
      <c r="P5" s="11"/>
      <c r="Q5" s="11"/>
      <c r="R5" s="11"/>
      <c r="S5" s="11"/>
      <c r="T5" s="11"/>
      <c r="U5" s="11"/>
      <c r="V5" s="11"/>
      <c r="W5" s="11"/>
      <c r="X5" s="13"/>
      <c r="Y5" s="12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2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3"/>
    </row>
    <row r="6" spans="1:58" ht="15" customHeight="1" x14ac:dyDescent="0.25">
      <c r="A6" t="s">
        <v>13</v>
      </c>
      <c r="B6">
        <v>123456789</v>
      </c>
    </row>
    <row r="7" spans="1:58" ht="15" customHeight="1" x14ac:dyDescent="0.25">
      <c r="A7" t="s">
        <v>14</v>
      </c>
      <c r="B7" t="s">
        <v>24</v>
      </c>
    </row>
    <row r="8" spans="1:58" ht="15" customHeight="1" x14ac:dyDescent="0.25">
      <c r="A8" t="s">
        <v>152</v>
      </c>
      <c r="B8" t="s">
        <v>153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20</vt:i4>
      </vt:variant>
    </vt:vector>
  </HeadingPairs>
  <TitlesOfParts>
    <vt:vector size="24" baseType="lpstr">
      <vt:lpstr>Mailing</vt:lpstr>
      <vt:lpstr>Parameter</vt:lpstr>
      <vt:lpstr>Liste</vt:lpstr>
      <vt:lpstr>Beispiel</vt:lpstr>
      <vt:lpstr>adresse</vt:lpstr>
      <vt:lpstr>anrede</vt:lpstr>
      <vt:lpstr>bodymsg</vt:lpstr>
      <vt:lpstr>ccrecipient</vt:lpstr>
      <vt:lpstr>Mailing!Druckbereich</vt:lpstr>
      <vt:lpstr>exportfile</vt:lpstr>
      <vt:lpstr>gitOrdner</vt:lpstr>
      <vt:lpstr>GruppierenNach</vt:lpstr>
      <vt:lpstr>kopfname</vt:lpstr>
      <vt:lpstr>mailcmd</vt:lpstr>
      <vt:lpstr>mailpwd</vt:lpstr>
      <vt:lpstr>mailto</vt:lpstr>
      <vt:lpstr>mailuser</vt:lpstr>
      <vt:lpstr>recipient</vt:lpstr>
      <vt:lpstr>subject</vt:lpstr>
      <vt:lpstr>testmail</vt:lpstr>
      <vt:lpstr>www</vt:lpstr>
      <vt:lpstr>zeilenindex</vt:lpstr>
      <vt:lpstr>zustext</vt:lpstr>
      <vt:lpstr>zvrzahl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cp:lastPrinted>2019-05-21T20:25:09Z</cp:lastPrinted>
  <dcterms:created xsi:type="dcterms:W3CDTF">2018-11-03T22:12:52Z</dcterms:created>
  <dcterms:modified xsi:type="dcterms:W3CDTF">2024-11-29T18:18:34Z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ec5bffa3-4835-416f-a61f-b81acebd7641</vt:lpwstr>
  </property>
</Properties>
</file>