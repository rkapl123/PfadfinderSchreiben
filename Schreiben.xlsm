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096749B6-C886-4EF2-90CF-362596A806E1}"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Liste!$X$6</definedName>
    <definedName name="bank">Parameter!$B$10</definedName>
    <definedName name="CheckSumme">Liste!$X$1</definedName>
    <definedName name="datenträger">Brief!$E$10</definedName>
    <definedName name="_xlnm.Print_Area" localSheetId="0">Brief!$A$1:$D$31</definedName>
    <definedName name="einschreibgeb">Parameter!$B$6</definedName>
    <definedName name="einschreibsumme">Brief!$H$9</definedName>
    <definedName name="ermässigt">Liste!$X$8:$Z$8</definedName>
    <definedName name="exportfile">Liste!$Z$1</definedName>
    <definedName name="FunktionenErwMitglieder">Liste!$X$12:$X$17</definedName>
    <definedName name="gebührgesamt">Brief!$H$10</definedName>
    <definedName name="gitOrdner">Liste!$X$22</definedName>
    <definedName name="GruppierenNach">Liste!$X$19</definedName>
    <definedName name="konto">Parameter!$B$8</definedName>
    <definedName name="kopfname">Parameter!$B$7</definedName>
    <definedName name="lautend_auf">Parameter!$B$9</definedName>
    <definedName name="LeiterÜbernehmen">Liste!$X$4</definedName>
    <definedName name="maxAnzahlMglBtr">Parameter!$B$3</definedName>
    <definedName name="mglbeitragsumme">Brief!$H$7</definedName>
    <definedName name="mitglbeitrag">Parameter!$B$1</definedName>
    <definedName name="mitglbeitragweitere">Parameter!$B$2</definedName>
    <definedName name="neuregistrierungAb">Liste!$X$10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A13" i="1"/>
  <c r="A14" i="1"/>
  <c r="A12" i="1"/>
  <c r="J5" i="1"/>
  <c r="I5" i="1" s="1"/>
  <c r="H11" i="1" l="1"/>
  <c r="H6" i="1"/>
  <c r="H5" i="1"/>
  <c r="H4" i="1"/>
  <c r="A3" i="1"/>
  <c r="H3" i="1"/>
  <c r="A2" i="1" s="1"/>
  <c r="A8" i="1" l="1"/>
  <c r="A19" i="1"/>
  <c r="X6" i="3" l="1"/>
  <c r="X10" i="3" s="1"/>
  <c r="A1" i="1"/>
  <c r="D31" i="1"/>
  <c r="D30" i="1"/>
  <c r="A31" i="1"/>
  <c r="A30" i="1"/>
  <c r="A29" i="1"/>
  <c r="D29" i="1"/>
  <c r="A21" i="1" l="1"/>
  <c r="A7" i="1"/>
  <c r="A11" i="1"/>
  <c r="H7" i="1"/>
  <c r="A20" i="1" l="1"/>
  <c r="H9" i="1"/>
  <c r="H8" i="1" l="1"/>
  <c r="A17" i="1" s="1"/>
  <c r="J1" i="1" l="1"/>
  <c r="H1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<sst xmlns="http://schemas.openxmlformats.org/spreadsheetml/2006/main" count="143" uniqueCount="92">
  <si>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</si>
  <si>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</si>
  <si>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</si>
  <si>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</si>
  <si>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</si>
  <si>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</si>
  <si>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</si>
  <si>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</si>
  <si>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</si>
  <si>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</si>
  <si>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</si>
  <si>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</si>
  <si>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</si>
  <si>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</si>
  <si>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</si>
  <si>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</si>
  <si>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</si>
  <si>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</si>
  <si>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</si>
  <si>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</si>
  <si>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</si>
  <si>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</si>
  <si>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Eure Gruppenleiter und Mitglieder des Elternrats</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</si>
  <si>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</si>
  <si>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</si>
  <si>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</si>
  <si>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</si>
  <si>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</si>
  <si>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</si>
  <si>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</si>
  <si>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</si>
  <si>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</si>
  <si>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</si>
  <si>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</si>
  <si>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</si>
  <si>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</si>
  <si>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</si>
  <si>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</si>
  <si>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</si>
  <si>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</si>
  <si>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</si>
  <si>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</si>
  <si>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</si>
  <si>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</si>
  <si>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</si>
  <si>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</si>
  <si>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</si>
  <si>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</si>
  <si>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Gruppe Musterhausen</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</si>
  <si>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</si>
  <si>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</si>
  <si>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</si>
  <si>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</si>
  <si>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</si>
  <si>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</si>
  <si>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</si>
  <si>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</si>
  <si>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</si>
  <si>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</si>
  <si>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</si>
  <si>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</si>
  <si>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</si>
  <si>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</si>
  <si>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</si>
  <si>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</si>
  <si>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</si>
  <si>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</si>
  <si>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</si>
  <si>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</si>
  <si>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</si>
  <si>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</si>
  <si>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</si>
  <si>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</si>
  <si>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</si>
  <si>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</si>
  <si>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</si>
  <si>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</si>
  <si>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</si>
  <si>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</si>
  <si>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</si>
  <si>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Pfadfindergruppe</t>
  </si>
  <si>
    <t>Musterstrasse 8/15, 
4711 Musterhausen</t>
  </si>
  <si>
    <t>Mustergasse 1/2, 
4711 Musterhausen</t>
  </si>
  <si>
    <t>Musterplatz 1, 
4711 Musterhausen</t>
  </si>
  <si>
    <t>Musterallee 7, 
4711 Musterhausen</t>
  </si>
  <si>
    <t>Musterhof 9, 
4711 Musterhausen</t>
  </si>
  <si>
    <t>max. Anzahl Mitglbeiträge</t>
  </si>
  <si>
    <t>Die Pfadfindergruppe Gablitz ist für ihre Gruppenaktivitäten auf die finanzielle Unterstützung durch Ihren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t>
  </si>
  <si>
    <t>Lang, Kupferschmidt und Weninger NICHT !!!!</t>
  </si>
  <si>
    <t>Summe</t>
  </si>
  <si>
    <t>Strasse/Plz</t>
  </si>
  <si>
    <t>=WENN([Vorname1]&lt;&gt;"";reg;0)+WENN([Vorname2]&lt;&gt;"";regweitere;0)+WENN([Vorname3]&lt;&gt;"";regweitere;0)+WENN([Vorname4]&lt;&gt;"";regweitere;0)+WENN([Vorname5]&lt;&gt;"";regweitere;0)+WENN([Vorname6]&lt;&gt;"";regweitere;0)+WENN(UND([Vorname1]&lt;&gt;"";[Ermäßigt1]="");mitglbeitrag;0)+WENN(UND([Vorname2]&lt;&gt;"";[Ermäßigt2]="");mitglbeitragweitere;0)+WENN([Einschreib1]&lt;&gt;"";einschreibgeb;0)+WENN([Einschreib2]&lt;&gt;"";einschreibgeb;0)+WENN([Einschreib3]&lt;&gt;"";einschreibgeb;0)+WENN([Einschreib4]&lt;&gt;"";einschreibgeb;0)+WENN([Einschreib5]&lt;&gt;"";einschreibgeb;0)+WENN([Einschreib6]&lt;&gt;"";einschreibge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</si>
</sst>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5">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14" fontId="0" fillId="4" borderId="0" xfId="0" applyNumberFormat="1" applyFill="1"/>
    <xf numFmtId="0" fontId="0" fillId="4" borderId="0" xfId="0" applyFill="1"/>
    <xf numFmtId="0" fontId="0" fillId="0" borderId="0" xfId="0" applyAlignment="1">
      <alignment horizontal="left"/>
    </xf>
    <xf numFmtId="0" fontId="0" fillId="3" borderId="7" xfId="0" applyFill="1" applyBorder="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xf numFmtId="0" fontId="11" fillId="0" borderId="0" xfId="0" applyFont="1"/>
    <xf numFmtId="1" fontId="0" fillId="0" borderId="0" xfId="0" applyNumberFormat="1"/>
    <xf numFmtId="0" fontId="0" fillId="0" borderId="0" xfId="0" applyBorder="1"/>
    <xf numFmtId="0" fontId="0" fillId="3" borderId="0" xfId="0" applyFill="1" applyBorder="1"/>
    <xf numFmtId="2" fontId="0" fillId="3" borderId="0" xfId="0" applyNumberFormat="1" applyFill="1" applyBorder="1"/>
    <xf numFmtId="0" fontId="0" fillId="3" borderId="0" xfId="0" applyFill="1" applyBorder="1" applyAlignment="1">
      <alignment wrapText="1"/>
    </xf>
    <xf numFmtId="0" fontId="0" fillId="3" borderId="4" xfId="0" applyFill="1" applyBorder="1"/>
    <xf numFmtId="0" fontId="0" fillId="3" borderId="5" xfId="0" applyFill="1" applyBorder="1"/>
  </cellXfs>
  <cellStyles count="2">
    <cellStyle name="Link" xfId="1" builtinId="8"/>
    <cellStyle name="Standard" xfId="0" builtinId="0"/>
  </cellStyles>
  <dxfs count="13">
    <dxf>
      <numFmt numFmtId="2" formatCode="0.00"/>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
      <tableStyleElement type="headerRow"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0</xdr:row>
          <xdr:rowOff>66675</xdr:rowOff>
        </xdr:from>
        <xdr:to>
          <xdr:col>5</xdr:col>
          <xdr:colOff>495300</xdr:colOff>
          <xdr:row>0</xdr:row>
          <xdr:rowOff>352425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0</xdr:row>
          <xdr:rowOff>66675</xdr:rowOff>
        </xdr:from>
        <xdr:to>
          <xdr:col>4</xdr:col>
          <xdr:colOff>704850</xdr:colOff>
          <xdr:row>0</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0</xdr:row>
          <xdr:rowOff>95250</xdr:rowOff>
        </xdr:from>
        <xdr:to>
          <xdr:col>7</xdr:col>
          <xdr:colOff>161925</xdr:colOff>
          <xdr:row>0</xdr:row>
          <xdr:rowOff>333375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365872</xdr:colOff>
          <xdr:row>0</xdr:row>
          <xdr:rowOff>49306</xdr:rowOff>
        </xdr:from>
        <xdr:to>
          <xdr:col>3</xdr:col>
          <xdr:colOff>907677</xdr:colOff>
          <xdr:row>1</xdr:row>
          <xdr:rowOff>192181</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582227</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368113</xdr:colOff>
          <xdr:row>0</xdr:row>
          <xdr:rowOff>90768</xdr:rowOff>
        </xdr:from>
        <xdr:to>
          <xdr:col>7</xdr:col>
          <xdr:colOff>1434913</xdr:colOff>
          <xdr:row>0</xdr:row>
          <xdr:rowOff>332255</xdr:rowOff>
        </xdr:to>
        <xdr:sp macro="" textlink="">
          <xdr:nvSpPr>
            <xdr:cNvPr id="1572" name="Button 8" hidden="1">
              <a:extLst>
                <a:ext uri="{63B3BB69-23CF-44E3-9099-C40C66FF867C}">
                  <a14:compatExt spid="_x0000_s1032"/>
                </a:ext>
                <a:ext uri="{FF2B5EF4-FFF2-40B4-BE49-F238E27FC236}">
                  <a16:creationId xmlns:a16="http://schemas.microsoft.com/office/drawing/2014/main" id="{20B39927-ACCC-4D89-A50D-784A6BFE96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xdr:twoCellAnchor>
    <xdr:from>
      <xdr:col>0</xdr:col>
      <xdr:colOff>0</xdr:colOff>
      <xdr:row>25</xdr:row>
      <xdr:rowOff>0</xdr:rowOff>
    </xdr:from>
    <xdr:to>
      <xdr:col>0</xdr:col>
      <xdr:colOff>1454195</xdr:colOff>
      <xdr:row>26</xdr:row>
      <xdr:rowOff>0</xdr:rowOff>
    </xdr:to>
    <xdr:pic>
      <xdr:nvPicPr>
        <xdr:cNvPr id="928" name="QRCODE_ZAHLUNG">
          <a:extLst>
            <a:ext uri="{FF2B5EF4-FFF2-40B4-BE49-F238E27FC236}">
              <a16:creationId xmlns:a16="http://schemas.microsoft.com/office/drawing/2014/main" id="{C96013EF-2AF4-46FF-A129-9742DF80FFE8}"/>
            </a:ext>
          </a:extLst>
        </xdr:cNvPr>
        <xdr:cNvPicPr>
          <a:picLocks noChangeAspect="1"/>
        </xdr:cNvPicPr>
      </xdr:nvPicPr>
      <xdr:blipFill>
        <a:blip xmlns:r="http://schemas.openxmlformats.org/officeDocument/2006/relationships" r:link="rId2"/>
        <a:stretch>
          <a:fillRect/>
        </a:stretch>
      </xdr:blipFill>
      <xdr:spPr>
        <a:xfrm>
          <a:off x="0" y="8191500"/>
          <a:ext cx="145419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25</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20</xdr:row>
          <xdr:rowOff>0</xdr:rowOff>
        </xdr:from>
        <xdr:to>
          <xdr:col>25</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V64" totalsRowShown="0">
  <sortState xmlns:xlrd2="http://schemas.microsoft.com/office/spreadsheetml/2017/richdata2" ref="A2:V64">
    <sortCondition ref="B2:B64"/>
  </sortState>
  <tableColumns count="22">
    <tableColumn id="1" xr3:uid="{00000000-0010-0000-0000-000001000000}" name="Anrede"/>
    <tableColumn id="2" xr3:uid="{00000000-0010-0000-0000-000002000000}" name="Name"/>
    <tableColumn id="21" xr3:uid="{00000000-0010-0000-0000-000015000000}" name="Adresse"/>
    <tableColumn id="3" xr3:uid="{00000000-0010-0000-0000-000003000000}" name="Vorname1" dataDxfId="10"/>
    <tableColumn id="4" xr3:uid="{00000000-0010-0000-0000-000004000000}" name="Einschreib1"/>
    <tableColumn id="12" xr3:uid="{00000000-0010-0000-0000-00000C000000}" name="Ermäßigt1" dataDxfId="9"/>
    <tableColumn id="5" xr3:uid="{00000000-0010-0000-0000-000005000000}" name="Vorname2" dataDxfId="8"/>
    <tableColumn id="6" xr3:uid="{00000000-0010-0000-0000-000006000000}" name="Einschreib2"/>
    <tableColumn id="13" xr3:uid="{00000000-0010-0000-0000-00000D000000}" name="Ermäßigt2" dataDxfId="7"/>
    <tableColumn id="7" xr3:uid="{00000000-0010-0000-0000-000007000000}" name="Vorname3" dataDxfId="6"/>
    <tableColumn id="8" xr3:uid="{00000000-0010-0000-0000-000008000000}" name="Einschreib3"/>
    <tableColumn id="14" xr3:uid="{00000000-0010-0000-0000-00000E000000}" name="Ermäßigt3" dataDxfId="5"/>
    <tableColumn id="9" xr3:uid="{00000000-0010-0000-0000-000009000000}" name="Vorname4" dataDxfId="4"/>
    <tableColumn id="10" xr3:uid="{00000000-0010-0000-0000-00000A000000}" name="Einschreib4"/>
    <tableColumn id="15" xr3:uid="{00000000-0010-0000-0000-00000F000000}" name="Ermäßigt4" dataDxfId="3"/>
    <tableColumn id="11" xr3:uid="{00000000-0010-0000-0000-00000B000000}" name="Vorname5" dataDxfId="2"/>
    <tableColumn id="16" xr3:uid="{00000000-0010-0000-0000-000010000000}" name="Einschreib5"/>
    <tableColumn id="17" xr3:uid="{00000000-0010-0000-0000-000011000000}" name="Ermäßigt5" dataDxfId="1"/>
    <tableColumn id="18" xr3:uid="{00000000-0010-0000-0000-000012000000}" name="Vorname6"/>
    <tableColumn id="19" xr3:uid="{00000000-0010-0000-0000-000013000000}" name="Einschreib6"/>
    <tableColumn id="20" xr3:uid="{00000000-0010-0000-0000-000014000000}" name="Ermäßigt6"/>
    <tableColumn id="22" xr3:uid="{0426A065-A660-4E74-AEE0-AF5CDFC2AD6F}"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w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view="pageBreakPreview" zoomScale="85" zoomScaleNormal="100" zoomScaleSheetLayoutView="85" workbookViewId="0">
      <selection activeCell="B3" sqref="B3"/>
    </sheetView>
  </sheetViews>
  <sheetFormatPr baseColWidth="10" defaultRowHeight="15" x14ac:dyDescent="0.25"/>
  <cols>
    <col min="1" max="1" width="33" customWidth="1"/>
    <col min="2" max="2" width="24.5703125" customWidth="1"/>
    <col min="3" max="3" width="22.5703125" customWidth="1"/>
    <col min="4" max="4" width="17.5703125" customWidth="1"/>
    <col min="8" max="8" width="28.7109375" customWidth="1"/>
  </cols>
  <sheetData>
    <row r="1" spans="1:10" ht="31.5" customHeight="1" x14ac:dyDescent="0.25">
      <c r="A1" s="7" t="str">
        <f>kopfname</f>
        <v>Gruppe Musterhausen</v>
      </c>
      <c r="B1" s="2"/>
      <c r="F1">
        <v>1</v>
      </c>
      <c r="I1" s="1"/>
      <c r="J1" s="3" t="str">
        <f>"Verband: "&amp;regsumme&amp;";Gruppe:"&amp;mglbeitragsumme&amp;IF(einschreibsumme&gt;0,";Einschreib:"&amp;einschreibsumme,"")</f>
        <v>Verband: 44,5;Gruppe:105;Einschreib:50</v>
      </c>
    </row>
    <row r="2" spans="1:10" ht="76.5" customHeight="1" x14ac:dyDescent="0.25">
      <c r="A2" s="31" t="str">
        <f>anrede</f>
        <v>Familie Muster</v>
      </c>
      <c r="B2" s="2"/>
      <c r="F2" s="11" t="s">
        <v>88</v>
      </c>
    </row>
    <row r="3" spans="1:10" ht="29.25" customHeight="1" x14ac:dyDescent="0.25">
      <c r="A3" s="1" t="str">
        <f>INDEX(Liste[Adresse],zeilenindex)</f>
        <v>Musterstrasse 8/15, 
4711 Musterhausen</v>
      </c>
      <c r="B3" s="2"/>
      <c r="H3" t="str">
        <f>INDEX(Liste[Anrede],zeilenindex)&amp;" "&amp;INDEX(Liste[Name],zeilenindex)</f>
        <v>Familie Muster</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MusterHinzKunz</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2</v>
      </c>
      <c r="I5">
        <f>MIN(J5,maxAnzahlMglBtr)</f>
        <v>2</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6" spans="1:10" x14ac:dyDescent="0.25">
      <c r="A6" s="8" t="s">
        <v>80</v>
      </c>
      <c r="B6" s="2"/>
      <c r="H6">
        <f>IF(INDEX(Liste[Einschreib1],zeilenindex)&lt;&gt;"",1,0)+IF(INDEX(Liste[Einschreib2],zeilenindex)&lt;&gt;"",1,0)+IF(INDEX(Liste[Einschreib3],zeilenindex)&lt;&gt;"",1,0)+IF(INDEX(Liste[Einschreib4],zeilenindex)&lt;&gt;"",1,0)+IF(INDEX(Liste[Einschreib5],zeilenindex)&lt;&gt;"",1,0)+IF(INDEX(Liste[Einschreib6],zeilenindex)&lt;&gt;"",1,0)</f>
        <v>2</v>
      </c>
    </row>
    <row r="7" spans="1:10" x14ac:dyDescent="0.25">
      <c r="A7" s="8" t="str">
        <f ca="1">"Mitgliedsbeitrag "&amp;AufnahmeJahr&amp;"/"&amp;RIGHT(AufnahmeJahr+1,2)</f>
        <v>Mitgliedsbeitrag 2018/19</v>
      </c>
      <c r="B7" s="2"/>
      <c r="H7">
        <f>IF(anzKinder&gt;0,mitglbeitrag+mitglbeitragweitere*(anzKinder-1),0)</f>
        <v>105</v>
      </c>
    </row>
    <row r="8" spans="1:10" ht="33" customHeight="1" x14ac:dyDescent="0.25">
      <c r="A8" t="str">
        <f>"Liebe"&amp;IF(INDEX(Liste[Anrede],zeilenindex)="Herr","r "," ")&amp;anrede&amp;" !"</f>
        <v>Liebe Familie Muster !</v>
      </c>
      <c r="B8" s="2"/>
      <c r="H8">
        <f>IF(anzMitgl&gt;0,reg+regweitere*(anzMitgl-1),0)</f>
        <v>44.5</v>
      </c>
    </row>
    <row r="9" spans="1:10" x14ac:dyDescent="0.25">
      <c r="E9" t="s">
        <v>66</v>
      </c>
      <c r="H9">
        <f>einschreibgeb*anzEinschreib</f>
        <v>50</v>
      </c>
    </row>
    <row r="10" spans="1:10" ht="165.75" customHeight="1" x14ac:dyDescent="0.25">
      <c r="A10" s="33" t="s">
        <v>87</v>
      </c>
      <c r="B10" s="33"/>
      <c r="C10" s="33"/>
      <c r="D10" s="33"/>
      <c r="E10" s="34"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35"/>
      <c r="G10" s="36"/>
      <c r="H10">
        <f>SUM(H7:H9)</f>
        <v>199.5</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33</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7" t="str">
        <f>"Der gesamte zu zahlende Betrag für "&amp;IF(INDEX(Liste[Anrede],zeilenindex)="Familie",pfadis,"Sie")&amp;" ist somit: € "&amp;TEXT(gebührgesamt,"0,00")</f>
        <v>Der gesamte zu zahlende Betrag für Hinz und Kunz ist somit: € 199,50</v>
      </c>
    </row>
    <row r="17" spans="1:4" x14ac:dyDescent="0.25">
      <c r="A17" t="str">
        <f>"(Verbandsbeiträge "&amp;TEXT(regsumme,"0,00")&amp;"; Gruppenbeiträge "&amp;TEXT(mglbeitragsumme,"0,00")&amp;IF(anzEinschreib&gt;0,"; Einschreibgebühren "&amp;TEXT(einschreibsumme,"0,00"),"")&amp;")"</f>
        <v>(Verbandsbeiträge 44,50; Gruppenbeiträge 105,00; Einschreibgebühren 50,00)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MusterHinzKunz18/19 angeben.</v>
      </c>
    </row>
    <row r="23" spans="1:4" x14ac:dyDescent="0.25">
      <c r="A23" t="s">
        <v>15</v>
      </c>
    </row>
    <row r="24" spans="1:4" x14ac:dyDescent="0.25">
      <c r="A24" t="s">
        <v>22</v>
      </c>
    </row>
    <row r="25" spans="1:4" ht="24" customHeight="1" x14ac:dyDescent="0.25">
      <c r="A25" t="s">
        <v>11</v>
      </c>
    </row>
    <row r="26" spans="1:4" ht="114.75" customHeight="1" x14ac:dyDescent="0.25"/>
    <row r="27" spans="1:4" ht="19.5" customHeight="1" x14ac:dyDescent="0.25"/>
    <row r="28" spans="1:4" x14ac:dyDescent="0.25">
      <c r="A28" s="5" t="s">
        <v>28</v>
      </c>
      <c r="D28" s="6" t="s">
        <v>29</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5</xdr:col>
                    <xdr:colOff>95250</xdr:colOff>
                    <xdr:row>0</xdr:row>
                    <xdr:rowOff>66675</xdr:rowOff>
                  </from>
                  <to>
                    <xdr:col>5</xdr:col>
                    <xdr:colOff>495300</xdr:colOff>
                    <xdr:row>0</xdr:row>
                    <xdr:rowOff>352425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200025</xdr:colOff>
                    <xdr:row>0</xdr:row>
                    <xdr:rowOff>66675</xdr:rowOff>
                  </from>
                  <to>
                    <xdr:col>4</xdr:col>
                    <xdr:colOff>704850</xdr:colOff>
                    <xdr:row>0</xdr:row>
                    <xdr:rowOff>352425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5</xdr:col>
                    <xdr:colOff>619125</xdr:colOff>
                    <xdr:row>0</xdr:row>
                    <xdr:rowOff>95250</xdr:rowOff>
                  </from>
                  <to>
                    <xdr:col>7</xdr:col>
                    <xdr:colOff>161925</xdr:colOff>
                    <xdr:row>0</xdr:row>
                    <xdr:rowOff>333375</xdr:rowOff>
                  </to>
                </anchor>
              </controlPr>
            </control>
          </mc:Choice>
        </mc:AlternateContent>
        <mc:AlternateContent xmlns:mc="http://schemas.openxmlformats.org/markup-compatibility/2006">
          <mc:Choice Requires="x14">
            <control shapeId="1572" r:id="rId9" name="Button 8">
              <controlPr defaultSize="0" print="0" autoFill="0" autoPict="0" macro="[0]!PDFundVor">
                <anchor moveWithCells="1" sizeWithCells="1">
                  <from>
                    <xdr:col>7</xdr:col>
                    <xdr:colOff>371475</xdr:colOff>
                    <xdr:row>0</xdr:row>
                    <xdr:rowOff>95250</xdr:rowOff>
                  </from>
                  <to>
                    <xdr:col>7</xdr:col>
                    <xdr:colOff>1438275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27</v>
      </c>
      <c r="B2" s="2">
        <v>35</v>
      </c>
    </row>
    <row r="3" spans="1:4" x14ac:dyDescent="0.25">
      <c r="A3" t="s">
        <v>86</v>
      </c>
      <c r="B3" s="38">
        <v>2</v>
      </c>
    </row>
    <row r="4" spans="1:4" x14ac:dyDescent="0.25">
      <c r="A4" t="s">
        <v>1</v>
      </c>
      <c r="B4" s="2">
        <v>28</v>
      </c>
    </row>
    <row r="5" spans="1:4" x14ac:dyDescent="0.25">
      <c r="A5" t="s">
        <v>2</v>
      </c>
      <c r="B5" s="2">
        <v>16.5</v>
      </c>
    </row>
    <row r="6" spans="1:4" x14ac:dyDescent="0.25">
      <c r="A6" t="s">
        <v>3</v>
      </c>
      <c r="B6" s="2">
        <v>25</v>
      </c>
    </row>
    <row r="7" spans="1:4" x14ac:dyDescent="0.25">
      <c r="A7" t="s">
        <v>37</v>
      </c>
      <c r="B7" t="s">
        <v>48</v>
      </c>
    </row>
    <row r="8" spans="1:4" x14ac:dyDescent="0.25">
      <c r="A8" t="s">
        <v>4</v>
      </c>
      <c r="B8" t="s">
        <v>49</v>
      </c>
    </row>
    <row r="9" spans="1:4" x14ac:dyDescent="0.25">
      <c r="A9" t="s">
        <v>5</v>
      </c>
      <c r="B9" t="s">
        <v>50</v>
      </c>
      <c r="D9" s="28"/>
    </row>
    <row r="10" spans="1:4" x14ac:dyDescent="0.25">
      <c r="A10" t="s">
        <v>16</v>
      </c>
      <c r="B10" t="s">
        <v>51</v>
      </c>
    </row>
    <row r="11" spans="1:4" x14ac:dyDescent="0.25">
      <c r="A11" t="s">
        <v>34</v>
      </c>
      <c r="B11" t="s">
        <v>52</v>
      </c>
    </row>
    <row r="12" spans="1:4" x14ac:dyDescent="0.25">
      <c r="A12" t="s">
        <v>35</v>
      </c>
      <c r="B12">
        <v>123456789</v>
      </c>
    </row>
    <row r="13" spans="1:4" x14ac:dyDescent="0.25">
      <c r="A13" t="s">
        <v>36</v>
      </c>
      <c r="B13" t="s">
        <v>53</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B65"/>
  <sheetViews>
    <sheetView workbookViewId="0">
      <pane ySplit="1" topLeftCell="A2" activePane="bottomLeft" state="frozen"/>
      <selection activeCell="K16" sqref="K16"/>
      <selection pane="bottomLeft" activeCell="A2" sqref="A2:U6"/>
    </sheetView>
  </sheetViews>
  <sheetFormatPr baseColWidth="10" defaultRowHeight="15" outlineLevelCol="1" x14ac:dyDescent="0.25"/>
  <cols>
    <col min="1" max="1" width="9" customWidth="1"/>
    <col min="2" max="2" width="17" customWidth="1"/>
    <col min="3" max="3" width="30.5703125" customWidth="1"/>
    <col min="4" max="4" width="11.85546875" style="15" customWidth="1" outlineLevel="1"/>
    <col min="5" max="5" width="4" customWidth="1" outlineLevel="1"/>
    <col min="6" max="6" width="4" style="16" customWidth="1" outlineLevel="1"/>
    <col min="7" max="7" width="10.140625" style="15" customWidth="1" outlineLevel="1"/>
    <col min="8" max="9" width="4" customWidth="1" outlineLevel="1"/>
    <col min="10" max="10" width="10.140625" style="15" customWidth="1" outlineLevel="1"/>
    <col min="11" max="11" width="4" customWidth="1" outlineLevel="1"/>
    <col min="12" max="12" width="4" style="16" customWidth="1" outlineLevel="1"/>
    <col min="13" max="13" width="10.140625" style="15" customWidth="1" outlineLevel="1"/>
    <col min="14" max="14" width="4" customWidth="1" outlineLevel="1"/>
    <col min="15" max="15" width="4" style="16" customWidth="1" outlineLevel="1"/>
    <col min="16" max="16" width="10.140625" style="15" customWidth="1" outlineLevel="1"/>
    <col min="17" max="17" width="4" customWidth="1" outlineLevel="1"/>
    <col min="18" max="18" width="4" style="16" customWidth="1" outlineLevel="1"/>
    <col min="19" max="19" width="11.140625" customWidth="1" outlineLevel="1"/>
    <col min="20" max="20" width="3.28515625" customWidth="1" outlineLevel="1"/>
    <col min="21" max="21" width="4.7109375" customWidth="1" outlineLevel="1"/>
    <col min="22" max="22" width="8.42578125" customWidth="1" outlineLevel="1"/>
    <col min="23" max="23" width="5.85546875" customWidth="1"/>
    <col min="24" max="24" width="13.7109375" customWidth="1"/>
    <col min="25" max="25" width="10" customWidth="1"/>
  </cols>
  <sheetData>
    <row r="1" spans="1:28" x14ac:dyDescent="0.25">
      <c r="A1" t="s">
        <v>12</v>
      </c>
      <c r="B1" t="s">
        <v>6</v>
      </c>
      <c r="C1" t="s">
        <v>68</v>
      </c>
      <c r="D1" s="12" t="s">
        <v>17</v>
      </c>
      <c r="E1" s="13" t="s">
        <v>7</v>
      </c>
      <c r="F1" s="14" t="s">
        <v>23</v>
      </c>
      <c r="G1" t="s">
        <v>18</v>
      </c>
      <c r="H1" t="s">
        <v>8</v>
      </c>
      <c r="I1" t="s">
        <v>24</v>
      </c>
      <c r="J1" s="12" t="s">
        <v>19</v>
      </c>
      <c r="K1" s="13" t="s">
        <v>9</v>
      </c>
      <c r="L1" s="14" t="s">
        <v>25</v>
      </c>
      <c r="M1" s="12" t="s">
        <v>20</v>
      </c>
      <c r="N1" s="13" t="s">
        <v>10</v>
      </c>
      <c r="O1" s="14" t="s">
        <v>26</v>
      </c>
      <c r="P1" s="12" t="s">
        <v>38</v>
      </c>
      <c r="Q1" s="13" t="s">
        <v>39</v>
      </c>
      <c r="R1" s="14" t="s">
        <v>40</v>
      </c>
      <c r="S1" s="12" t="s">
        <v>41</v>
      </c>
      <c r="T1" s="13" t="s">
        <v>42</v>
      </c>
      <c r="U1" s="14" t="s">
        <v>43</v>
      </c>
      <c r="V1" s="39" t="s">
        <v>89</v>
      </c>
      <c r="X1" s="3" t="s">
        <v>91</v>
      </c>
      <c r="Z1" s="10" t="s">
        <v>67</v>
      </c>
    </row>
    <row r="2" spans="1:28" ht="13.5" customHeight="1" x14ac:dyDescent="0.25">
      <c r="A2" s="17" t="s">
        <v>13</v>
      </c>
      <c r="B2" s="18" t="s">
        <v>45</v>
      </c>
      <c r="C2" s="32" t="s">
        <v>81</v>
      </c>
      <c r="D2" s="19" t="s">
        <v>74</v>
      </c>
      <c r="E2" s="18" t="s">
        <v>32</v>
      </c>
      <c r="F2" s="20"/>
      <c r="G2" s="19" t="s">
        <v>75</v>
      </c>
      <c r="H2" s="21" t="s">
        <v>32</v>
      </c>
      <c r="I2" s="21"/>
      <c r="J2" s="19"/>
      <c r="K2" s="18"/>
      <c r="L2" s="20"/>
      <c r="M2" s="19"/>
      <c r="N2" s="18"/>
      <c r="O2" s="20"/>
      <c r="P2" s="19"/>
      <c r="Q2" s="18"/>
      <c r="R2" s="20"/>
      <c r="S2" s="18"/>
      <c r="T2" s="18"/>
      <c r="U2" s="22"/>
      <c r="V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199.5</v>
      </c>
    </row>
    <row r="3" spans="1:28" ht="13.5" customHeight="1" x14ac:dyDescent="0.25">
      <c r="A3" s="23" t="s">
        <v>14</v>
      </c>
      <c r="B3" s="24" t="s">
        <v>46</v>
      </c>
      <c r="C3" s="32" t="s">
        <v>82</v>
      </c>
      <c r="D3" s="25" t="s">
        <v>70</v>
      </c>
      <c r="E3" s="24"/>
      <c r="F3" s="26" t="s">
        <v>31</v>
      </c>
      <c r="G3" s="25"/>
      <c r="H3" s="24"/>
      <c r="I3" s="24"/>
      <c r="J3" s="25"/>
      <c r="K3" s="24"/>
      <c r="L3" s="26"/>
      <c r="M3" s="25"/>
      <c r="N3" s="24"/>
      <c r="O3" s="26"/>
      <c r="P3" s="25"/>
      <c r="Q3" s="24"/>
      <c r="R3" s="26"/>
      <c r="S3" s="24"/>
      <c r="T3" s="24"/>
      <c r="U3" s="27"/>
      <c r="V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28</v>
      </c>
      <c r="X3" t="s">
        <v>61</v>
      </c>
    </row>
    <row r="4" spans="1:28" ht="13.5" customHeight="1" x14ac:dyDescent="0.25">
      <c r="A4" s="17" t="s">
        <v>21</v>
      </c>
      <c r="B4" s="18" t="s">
        <v>47</v>
      </c>
      <c r="C4" s="32" t="s">
        <v>83</v>
      </c>
      <c r="D4" s="19" t="s">
        <v>71</v>
      </c>
      <c r="E4" s="18"/>
      <c r="F4" s="20" t="s">
        <v>31</v>
      </c>
      <c r="G4" s="19"/>
      <c r="H4" s="18"/>
      <c r="I4" s="18"/>
      <c r="J4" s="19"/>
      <c r="K4" s="18"/>
      <c r="L4" s="20"/>
      <c r="M4" s="19"/>
      <c r="N4" s="18"/>
      <c r="O4" s="20"/>
      <c r="P4" s="19"/>
      <c r="Q4" s="18"/>
      <c r="R4" s="20"/>
      <c r="S4" s="18"/>
      <c r="T4" s="18"/>
      <c r="U4" s="22"/>
      <c r="V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28</v>
      </c>
      <c r="X4" s="10" t="s">
        <v>30</v>
      </c>
    </row>
    <row r="5" spans="1:28" ht="13.5" customHeight="1" x14ac:dyDescent="0.25">
      <c r="A5" s="23" t="s">
        <v>13</v>
      </c>
      <c r="B5" s="24" t="s">
        <v>78</v>
      </c>
      <c r="C5" s="32" t="s">
        <v>84</v>
      </c>
      <c r="D5" s="25" t="s">
        <v>72</v>
      </c>
      <c r="E5" s="24"/>
      <c r="F5" s="26" t="s">
        <v>31</v>
      </c>
      <c r="G5" s="25" t="s">
        <v>73</v>
      </c>
      <c r="H5" s="24"/>
      <c r="I5" s="24"/>
      <c r="J5" s="25"/>
      <c r="K5" s="24"/>
      <c r="L5" s="26"/>
      <c r="M5" s="25"/>
      <c r="N5" s="24"/>
      <c r="O5" s="26"/>
      <c r="P5" s="25"/>
      <c r="Q5" s="24"/>
      <c r="R5" s="26"/>
      <c r="S5" s="24"/>
      <c r="T5" s="24"/>
      <c r="U5" s="27"/>
      <c r="V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79.5</v>
      </c>
      <c r="X5" t="s">
        <v>79</v>
      </c>
    </row>
    <row r="6" spans="1:28" ht="13.5" customHeight="1" x14ac:dyDescent="0.25">
      <c r="A6" s="17" t="s">
        <v>13</v>
      </c>
      <c r="B6" s="18" t="s">
        <v>76</v>
      </c>
      <c r="C6" s="32" t="s">
        <v>85</v>
      </c>
      <c r="D6" s="19" t="s">
        <v>77</v>
      </c>
      <c r="E6" s="18"/>
      <c r="F6" s="20"/>
      <c r="G6" s="19"/>
      <c r="H6" s="18"/>
      <c r="I6" s="18"/>
      <c r="J6" s="19"/>
      <c r="K6" s="18"/>
      <c r="L6" s="20"/>
      <c r="M6" s="19"/>
      <c r="N6" s="18"/>
      <c r="O6" s="20"/>
      <c r="P6" s="19"/>
      <c r="Q6" s="18"/>
      <c r="R6" s="20"/>
      <c r="S6" s="18"/>
      <c r="T6" s="18"/>
      <c r="U6" s="22"/>
      <c r="V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98</v>
      </c>
      <c r="X6" s="30">
        <f ca="1">YEAR(TODAY())-1</f>
        <v>2018</v>
      </c>
    </row>
    <row r="7" spans="1:28" ht="13.5" customHeight="1" x14ac:dyDescent="0.25">
      <c r="C7" s="1"/>
      <c r="V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7" t="s">
        <v>63</v>
      </c>
    </row>
    <row r="8" spans="1:28" ht="13.5" customHeight="1" x14ac:dyDescent="0.25">
      <c r="A8" s="39"/>
      <c r="B8" s="39"/>
      <c r="C8" s="42"/>
      <c r="E8" s="39"/>
      <c r="H8" s="39"/>
      <c r="I8" s="39"/>
      <c r="K8" s="39"/>
      <c r="N8" s="39"/>
      <c r="Q8" s="39"/>
      <c r="S8" s="39"/>
      <c r="T8" s="39"/>
      <c r="U8" s="39"/>
      <c r="V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8" s="10" t="s">
        <v>64</v>
      </c>
      <c r="Y8" s="10" t="s">
        <v>65</v>
      </c>
      <c r="Z8" s="10"/>
    </row>
    <row r="9" spans="1:28" ht="13.5" customHeight="1" x14ac:dyDescent="0.25">
      <c r="C9" s="1"/>
      <c r="V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9" t="s">
        <v>62</v>
      </c>
      <c r="AB9" s="3"/>
    </row>
    <row r="10" spans="1:28" ht="13.5" customHeight="1" x14ac:dyDescent="0.25">
      <c r="C10" s="1"/>
      <c r="V1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0" s="29">
        <f ca="1">DATE(AufnahmeJahr,Y10,Z10)</f>
        <v>43215</v>
      </c>
      <c r="Y10">
        <v>4</v>
      </c>
      <c r="Z10">
        <v>25</v>
      </c>
    </row>
    <row r="11" spans="1:28" ht="13.5" customHeight="1" x14ac:dyDescent="0.25">
      <c r="C11" s="1"/>
      <c r="V1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1" t="s">
        <v>60</v>
      </c>
    </row>
    <row r="12" spans="1:28" ht="13.5" customHeight="1" x14ac:dyDescent="0.25">
      <c r="C12" s="1"/>
      <c r="V1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2" s="10" t="s">
        <v>55</v>
      </c>
    </row>
    <row r="13" spans="1:28" ht="13.5" customHeight="1" x14ac:dyDescent="0.25">
      <c r="C13" s="1"/>
      <c r="V1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3" s="10" t="s">
        <v>56</v>
      </c>
    </row>
    <row r="14" spans="1:28" ht="13.5" customHeight="1" x14ac:dyDescent="0.25">
      <c r="C14" s="1"/>
      <c r="V1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4" s="10" t="s">
        <v>57</v>
      </c>
    </row>
    <row r="15" spans="1:28" ht="13.5" customHeight="1" x14ac:dyDescent="0.25">
      <c r="C15" s="1"/>
      <c r="V1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5" s="10" t="s">
        <v>58</v>
      </c>
    </row>
    <row r="16" spans="1:28" ht="13.5" customHeight="1" x14ac:dyDescent="0.25">
      <c r="C16" s="1"/>
      <c r="V1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6" s="10" t="s">
        <v>59</v>
      </c>
    </row>
    <row r="17" spans="1:24" ht="13.5" customHeight="1" x14ac:dyDescent="0.25">
      <c r="C17" s="1"/>
      <c r="V1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7" s="10" t="s">
        <v>54</v>
      </c>
    </row>
    <row r="18" spans="1:24" ht="13.5" customHeight="1" x14ac:dyDescent="0.25">
      <c r="C18" s="1"/>
      <c r="V1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8" t="s">
        <v>69</v>
      </c>
    </row>
    <row r="19" spans="1:24" ht="13.5" customHeight="1" x14ac:dyDescent="0.25">
      <c r="C19" s="1"/>
      <c r="V1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19" s="10" t="s">
        <v>90</v>
      </c>
    </row>
    <row r="20" spans="1:24" ht="13.5" customHeight="1" x14ac:dyDescent="0.25">
      <c r="C20" s="1"/>
      <c r="V2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1" spans="1:24" ht="13.5" customHeight="1" x14ac:dyDescent="0.25">
      <c r="C21" s="1"/>
      <c r="V2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2" spans="1:24" ht="13.5" customHeight="1" x14ac:dyDescent="0.25">
      <c r="A22" s="40"/>
      <c r="B22" s="40"/>
      <c r="C22" s="42"/>
      <c r="D22" s="43"/>
      <c r="E22" s="40"/>
      <c r="F22" s="44"/>
      <c r="G22" s="43"/>
      <c r="H22" s="40"/>
      <c r="I22" s="40"/>
      <c r="J22" s="43"/>
      <c r="K22" s="40"/>
      <c r="L22" s="44"/>
      <c r="M22" s="43"/>
      <c r="N22" s="40"/>
      <c r="O22" s="44"/>
      <c r="P22" s="43"/>
      <c r="Q22" s="40"/>
      <c r="R22" s="44"/>
      <c r="S22" s="40"/>
      <c r="T22" s="40"/>
      <c r="U22" s="40"/>
      <c r="V2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c r="X22" t="s">
        <v>44</v>
      </c>
    </row>
    <row r="23" spans="1:24" ht="13.5" customHeight="1" x14ac:dyDescent="0.25">
      <c r="A23" s="40"/>
      <c r="B23" s="40"/>
      <c r="C23" s="42"/>
      <c r="D23" s="43"/>
      <c r="E23" s="40"/>
      <c r="F23" s="44"/>
      <c r="G23" s="43"/>
      <c r="H23" s="40"/>
      <c r="I23" s="40"/>
      <c r="J23" s="43"/>
      <c r="K23" s="40"/>
      <c r="L23" s="44"/>
      <c r="M23" s="43"/>
      <c r="N23" s="40"/>
      <c r="O23" s="44"/>
      <c r="P23" s="43"/>
      <c r="Q23" s="40"/>
      <c r="R23" s="44"/>
      <c r="S23" s="40"/>
      <c r="T23" s="40"/>
      <c r="U23" s="40"/>
      <c r="V2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4" spans="1:24" ht="13.5" customHeight="1" x14ac:dyDescent="0.25">
      <c r="C24" s="1"/>
      <c r="V2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5" spans="1:24" ht="13.5" customHeight="1" x14ac:dyDescent="0.25">
      <c r="C25" s="1"/>
      <c r="V2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6" spans="1:24" ht="13.5" customHeight="1" x14ac:dyDescent="0.25">
      <c r="A26" s="40"/>
      <c r="B26" s="40"/>
      <c r="C26" s="42"/>
      <c r="D26" s="43"/>
      <c r="E26" s="40"/>
      <c r="F26" s="44"/>
      <c r="G26" s="43"/>
      <c r="H26" s="40"/>
      <c r="I26" s="40"/>
      <c r="J26" s="43"/>
      <c r="K26" s="40"/>
      <c r="L26" s="44"/>
      <c r="M26" s="43"/>
      <c r="N26" s="40"/>
      <c r="O26" s="44"/>
      <c r="P26" s="43"/>
      <c r="Q26" s="40"/>
      <c r="R26" s="44"/>
      <c r="S26" s="40"/>
      <c r="T26" s="40"/>
      <c r="U26" s="40"/>
      <c r="V2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7" spans="1:24" ht="13.5" customHeight="1" x14ac:dyDescent="0.25">
      <c r="C27" s="1"/>
      <c r="V2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8" spans="1:24" ht="13.5" customHeight="1" x14ac:dyDescent="0.25">
      <c r="A28" s="39"/>
      <c r="B28" s="39"/>
      <c r="C28" s="42"/>
      <c r="E28" s="39"/>
      <c r="H28" s="39"/>
      <c r="I28" s="39"/>
      <c r="K28" s="39"/>
      <c r="N28" s="39"/>
      <c r="Q28" s="39"/>
      <c r="S28" s="39"/>
      <c r="T28" s="39"/>
      <c r="U28" s="39"/>
      <c r="V2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29" spans="1:24" ht="13.5" customHeight="1" x14ac:dyDescent="0.25">
      <c r="C29" s="1"/>
      <c r="V2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0" spans="1:24" ht="13.5" customHeight="1" x14ac:dyDescent="0.25">
      <c r="C30" s="1"/>
      <c r="V3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1" spans="1:24" ht="13.5" customHeight="1" x14ac:dyDescent="0.25">
      <c r="C31" s="1"/>
      <c r="V3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2" spans="1:24" ht="13.5" customHeight="1" x14ac:dyDescent="0.25">
      <c r="C32" s="1"/>
      <c r="V3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3" spans="3:22" ht="13.5" customHeight="1" x14ac:dyDescent="0.25">
      <c r="C33" s="1"/>
      <c r="V3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4" spans="3:22" ht="13.5" customHeight="1" x14ac:dyDescent="0.25">
      <c r="C34" s="1"/>
      <c r="V3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5" spans="3:22" ht="13.5" customHeight="1" x14ac:dyDescent="0.25">
      <c r="C35" s="1"/>
      <c r="V3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6" spans="3:22" ht="13.5" customHeight="1" x14ac:dyDescent="0.25">
      <c r="C36" s="1"/>
      <c r="V3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7" spans="3:22" ht="13.5" customHeight="1" x14ac:dyDescent="0.25">
      <c r="C37" s="1"/>
      <c r="V3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8" spans="3:22" ht="13.5" customHeight="1" x14ac:dyDescent="0.25">
      <c r="C38" s="1"/>
      <c r="V3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39" spans="3:22" ht="13.5" customHeight="1" x14ac:dyDescent="0.25">
      <c r="C39" s="1"/>
      <c r="V3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0" spans="3:22" ht="13.5" customHeight="1" x14ac:dyDescent="0.25">
      <c r="C40" s="1"/>
      <c r="V4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1" spans="3:22" ht="13.5" customHeight="1" x14ac:dyDescent="0.25">
      <c r="C41" s="1"/>
      <c r="V4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2" spans="3:22" ht="13.5" customHeight="1" x14ac:dyDescent="0.25">
      <c r="C42" s="1"/>
      <c r="V4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3" spans="3:22" ht="13.5" customHeight="1" x14ac:dyDescent="0.25">
      <c r="C43" s="1"/>
      <c r="V4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4" spans="3:22" ht="13.5" customHeight="1" x14ac:dyDescent="0.25">
      <c r="C44" s="1"/>
      <c r="V4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5" spans="3:22" ht="13.5" customHeight="1" x14ac:dyDescent="0.25">
      <c r="C45" s="1"/>
      <c r="V4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6" spans="3:22" ht="13.5" customHeight="1" x14ac:dyDescent="0.25">
      <c r="C46" s="1"/>
      <c r="V4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7" spans="3:22" ht="13.5" customHeight="1" x14ac:dyDescent="0.25">
      <c r="C47" s="1"/>
      <c r="V4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8" spans="3:22" ht="13.5" customHeight="1" x14ac:dyDescent="0.25">
      <c r="C48" s="1"/>
      <c r="V4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49" spans="3:22" ht="13.5" customHeight="1" x14ac:dyDescent="0.25">
      <c r="C49" s="1"/>
      <c r="V4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0" spans="3:22" ht="13.5" customHeight="1" x14ac:dyDescent="0.25">
      <c r="C50" s="1"/>
      <c r="V5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1" spans="3:22" ht="13.5" customHeight="1" x14ac:dyDescent="0.25">
      <c r="C51" s="1"/>
      <c r="V5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2" spans="3:22" ht="13.5" customHeight="1" x14ac:dyDescent="0.25">
      <c r="C52" s="1"/>
      <c r="V5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3" spans="3:22" ht="13.5" customHeight="1" x14ac:dyDescent="0.25">
      <c r="C53" s="1"/>
      <c r="V5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4" spans="3:22" ht="13.5" customHeight="1" x14ac:dyDescent="0.25">
      <c r="C54" s="1"/>
      <c r="V5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5" spans="3:22" ht="13.5" customHeight="1" x14ac:dyDescent="0.25">
      <c r="C55" s="1"/>
      <c r="V55"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6" spans="3:22" ht="13.5" customHeight="1" x14ac:dyDescent="0.25">
      <c r="C56" s="1"/>
      <c r="V56"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7" spans="3:22" ht="13.5" customHeight="1" x14ac:dyDescent="0.25">
      <c r="C57" s="1"/>
      <c r="V57"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8" spans="3:22" ht="13.5" customHeight="1" x14ac:dyDescent="0.25">
      <c r="C58" s="1"/>
      <c r="V58"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59" spans="3:22" ht="13.5" customHeight="1" x14ac:dyDescent="0.25">
      <c r="C59" s="1"/>
      <c r="V59"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0" spans="3:22" ht="13.5" customHeight="1" x14ac:dyDescent="0.25">
      <c r="C60" s="1"/>
      <c r="V60"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1" spans="3:22" ht="13.5" customHeight="1" x14ac:dyDescent="0.25">
      <c r="C61" s="1"/>
      <c r="V61"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2" spans="3:22" ht="13.5" customHeight="1" x14ac:dyDescent="0.25">
      <c r="C62" s="1"/>
      <c r="V62"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3" spans="3:22" ht="13.5" customHeight="1" x14ac:dyDescent="0.25">
      <c r="C63" s="1"/>
      <c r="V63"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4" spans="3:22" ht="13.5" customHeight="1" x14ac:dyDescent="0.25">
      <c r="C64" s="1"/>
      <c r="V64" s="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IF(Liste[Einschreib1]&lt;&gt;"",einschreibgeb,0)+IF(Liste[Einschreib2]&lt;&gt;"",einschreibgeb,0)+IF(Liste[Einschreib3]&lt;&gt;"",einschreibgeb,0)+IF(Liste[Einschreib4]&lt;&gt;"",einschreibgeb,0)+IF(Liste[Einschreib5]&lt;&gt;"",einschreibgeb,0)+IF(Liste[Einschreib6]&lt;&gt;"",einschreibgeb,0)</f>
        <v>0</v>
      </c>
    </row>
    <row r="65" spans="3:3" ht="13.5" customHeight="1" x14ac:dyDescent="0.25">
      <c r="C65" s="1"/>
    </row>
  </sheetData>
  <dataValidations count="2">
    <dataValidation type="list" allowBlank="1" showInputMessage="1" showErrorMessage="1" sqref="X4" xr:uid="{00000000-0002-0000-0200-000000000000}">
      <formula1>"Ja,Nein"</formula1>
    </dataValidation>
    <dataValidation type="list" allowBlank="1" showInputMessage="1" showErrorMessage="1" sqref="X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22</xdr:col>
                    <xdr:colOff>19050</xdr:colOff>
                    <xdr:row>0</xdr:row>
                    <xdr:rowOff>0</xdr:rowOff>
                  </from>
                  <to>
                    <xdr:col>25</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23</xdr:col>
                    <xdr:colOff>19050</xdr:colOff>
                    <xdr:row>20</xdr:row>
                    <xdr:rowOff>0</xdr:rowOff>
                  </from>
                  <to>
                    <xdr:col>25</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X13"/>
  <sheetViews>
    <sheetView workbookViewId="0">
      <selection activeCell="B6" sqref="B6"/>
    </sheetView>
  </sheetViews>
  <sheetFormatPr baseColWidth="10" defaultRowHeight="15" customHeight="1" x14ac:dyDescent="0.25"/>
  <cols>
    <col min="1" max="1" width="26" bestFit="1" customWidth="1"/>
    <col min="5" max="5" width="18.42578125" bestFit="1" customWidth="1"/>
    <col min="6" max="6" width="22.140625" customWidth="1"/>
  </cols>
  <sheetData>
    <row r="1" spans="1:24" ht="15" customHeight="1" x14ac:dyDescent="0.25">
      <c r="A1" t="s">
        <v>0</v>
      </c>
      <c r="B1" s="2">
        <v>70</v>
      </c>
      <c r="D1" s="17" t="s">
        <v>13</v>
      </c>
      <c r="E1" s="18" t="s">
        <v>45</v>
      </c>
      <c r="F1" s="32" t="s">
        <v>81</v>
      </c>
      <c r="G1" s="19" t="s">
        <v>74</v>
      </c>
      <c r="H1" s="18" t="s">
        <v>32</v>
      </c>
      <c r="I1" s="20"/>
      <c r="J1" s="19" t="s">
        <v>75</v>
      </c>
      <c r="K1" s="21" t="s">
        <v>32</v>
      </c>
      <c r="L1" s="21"/>
      <c r="M1" s="19"/>
      <c r="N1" s="18"/>
      <c r="O1" s="20"/>
      <c r="P1" s="19"/>
      <c r="Q1" s="18"/>
      <c r="R1" s="20"/>
      <c r="S1" s="19"/>
      <c r="T1" s="18"/>
      <c r="U1" s="20"/>
      <c r="V1" s="18"/>
      <c r="W1" s="18"/>
      <c r="X1" s="22"/>
    </row>
    <row r="2" spans="1:24" ht="15" customHeight="1" x14ac:dyDescent="0.25">
      <c r="A2" t="s">
        <v>27</v>
      </c>
      <c r="B2" s="2">
        <v>35</v>
      </c>
      <c r="D2" s="23" t="s">
        <v>14</v>
      </c>
      <c r="E2" s="24" t="s">
        <v>46</v>
      </c>
      <c r="F2" s="32" t="s">
        <v>82</v>
      </c>
      <c r="G2" s="25" t="s">
        <v>70</v>
      </c>
      <c r="H2" s="24"/>
      <c r="I2" s="26" t="s">
        <v>31</v>
      </c>
      <c r="J2" s="25"/>
      <c r="K2" s="24"/>
      <c r="L2" s="24"/>
      <c r="M2" s="25"/>
      <c r="N2" s="24"/>
      <c r="O2" s="26"/>
      <c r="P2" s="25"/>
      <c r="Q2" s="24"/>
      <c r="R2" s="26"/>
      <c r="S2" s="25"/>
      <c r="T2" s="24"/>
      <c r="U2" s="26"/>
      <c r="V2" s="24"/>
      <c r="W2" s="24"/>
      <c r="X2" s="27"/>
    </row>
    <row r="3" spans="1:24" ht="15" customHeight="1" x14ac:dyDescent="0.25">
      <c r="A3" t="s">
        <v>86</v>
      </c>
      <c r="B3" s="38">
        <v>2</v>
      </c>
      <c r="D3" s="17" t="s">
        <v>21</v>
      </c>
      <c r="E3" s="18" t="s">
        <v>47</v>
      </c>
      <c r="F3" s="32" t="s">
        <v>83</v>
      </c>
      <c r="G3" s="19" t="s">
        <v>71</v>
      </c>
      <c r="H3" s="18"/>
      <c r="I3" s="20" t="s">
        <v>31</v>
      </c>
      <c r="J3" s="19"/>
      <c r="K3" s="18"/>
      <c r="L3" s="18"/>
      <c r="M3" s="19"/>
      <c r="N3" s="18"/>
      <c r="O3" s="20"/>
      <c r="P3" s="19"/>
      <c r="Q3" s="18"/>
      <c r="R3" s="20"/>
      <c r="S3" s="19"/>
      <c r="T3" s="18"/>
      <c r="U3" s="20"/>
      <c r="V3" s="18"/>
      <c r="W3" s="18"/>
      <c r="X3" s="22"/>
    </row>
    <row r="4" spans="1:24" ht="15" customHeight="1" x14ac:dyDescent="0.25">
      <c r="A4" t="s">
        <v>1</v>
      </c>
      <c r="B4" s="2">
        <v>28</v>
      </c>
      <c r="D4" s="23" t="s">
        <v>13</v>
      </c>
      <c r="E4" s="24" t="s">
        <v>78</v>
      </c>
      <c r="F4" s="32" t="s">
        <v>84</v>
      </c>
      <c r="G4" s="25" t="s">
        <v>72</v>
      </c>
      <c r="H4" s="24"/>
      <c r="I4" s="26" t="s">
        <v>31</v>
      </c>
      <c r="J4" s="25" t="s">
        <v>73</v>
      </c>
      <c r="K4" s="24"/>
      <c r="L4" s="24"/>
      <c r="M4" s="25"/>
      <c r="N4" s="24"/>
      <c r="O4" s="26"/>
      <c r="P4" s="25"/>
      <c r="Q4" s="24"/>
      <c r="R4" s="26"/>
      <c r="S4" s="25"/>
      <c r="T4" s="24"/>
      <c r="U4" s="26"/>
      <c r="V4" s="24"/>
      <c r="W4" s="24"/>
      <c r="X4" s="27"/>
    </row>
    <row r="5" spans="1:24" ht="15" customHeight="1" x14ac:dyDescent="0.25">
      <c r="A5" t="s">
        <v>2</v>
      </c>
      <c r="B5" s="2">
        <v>16.5</v>
      </c>
      <c r="D5" s="17" t="s">
        <v>13</v>
      </c>
      <c r="E5" s="18" t="s">
        <v>76</v>
      </c>
      <c r="F5" s="32" t="s">
        <v>85</v>
      </c>
      <c r="G5" s="19" t="s">
        <v>77</v>
      </c>
      <c r="H5" s="18"/>
      <c r="I5" s="20"/>
      <c r="J5" s="19"/>
      <c r="K5" s="18"/>
      <c r="L5" s="18"/>
      <c r="M5" s="19"/>
      <c r="N5" s="18"/>
      <c r="O5" s="20"/>
      <c r="P5" s="19"/>
      <c r="Q5" s="18"/>
      <c r="R5" s="20"/>
      <c r="S5" s="19"/>
      <c r="T5" s="18"/>
      <c r="U5" s="20"/>
      <c r="V5" s="18"/>
      <c r="W5" s="18"/>
      <c r="X5" s="22"/>
    </row>
    <row r="6" spans="1:24" ht="15" customHeight="1" x14ac:dyDescent="0.25">
      <c r="A6" t="s">
        <v>3</v>
      </c>
      <c r="B6" s="2">
        <v>25</v>
      </c>
    </row>
    <row r="7" spans="1:24" ht="15" customHeight="1" x14ac:dyDescent="0.25">
      <c r="A7" t="s">
        <v>37</v>
      </c>
      <c r="B7" t="s">
        <v>48</v>
      </c>
    </row>
    <row r="8" spans="1:24" ht="15" customHeight="1" x14ac:dyDescent="0.25">
      <c r="A8" t="s">
        <v>4</v>
      </c>
      <c r="B8" t="s">
        <v>49</v>
      </c>
    </row>
    <row r="9" spans="1:24" ht="15" customHeight="1" x14ac:dyDescent="0.25">
      <c r="A9" t="s">
        <v>5</v>
      </c>
      <c r="B9" t="s">
        <v>50</v>
      </c>
    </row>
    <row r="10" spans="1:24" ht="15" customHeight="1" x14ac:dyDescent="0.25">
      <c r="A10" t="s">
        <v>16</v>
      </c>
      <c r="B10" t="s">
        <v>51</v>
      </c>
    </row>
    <row r="11" spans="1:24" ht="15" customHeight="1" x14ac:dyDescent="0.25">
      <c r="A11" t="s">
        <v>34</v>
      </c>
      <c r="B11" t="s">
        <v>52</v>
      </c>
    </row>
    <row r="12" spans="1:24" ht="15" customHeight="1" x14ac:dyDescent="0.25">
      <c r="A12" t="s">
        <v>35</v>
      </c>
      <c r="B12">
        <v>123456789</v>
      </c>
    </row>
    <row r="13" spans="1:24" ht="15" customHeight="1" x14ac:dyDescent="0.25">
      <c r="A13" t="s">
        <v>36</v>
      </c>
      <c r="B13" t="s">
        <v>53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41</vt:i4>
      </vt:variant>
    </vt:vector>
  </HeadingPairs>
  <TitlesOfParts>
    <vt:vector size="45"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maxAnzahlMglBtr</vt:lpstr>
      <vt:lpstr>mglbeitragsumme</vt:lpstr>
      <vt:lpstr>mitglbeitrag</vt:lpstr>
      <vt:lpstr>mitglbeitragweitere</vt:lpstr>
      <vt:lpstr>neuregistrierungAb</vt:lpstr>
      <vt:lpstr>pfadis</vt:lpstr>
      <vt:lpstr>QRCode</vt:lpstr>
      <vt:lpstr>referenz</vt:lpstr>
      <vt:lpstr>reg</vt:lpstr>
      <vt:lpstr>regsumme</vt:lpstr>
      <vt:lpstr>regweitere</vt:lpstr>
      <vt:lpstr>texteinschreib</vt:lpstr>
      <vt:lpstr>textmglb</vt:lpstr>
      <vt:lpstr>textreg</vt:lpstr>
      <vt:lpstr>vorAnzahlKinder</vt:lpstr>
      <vt:lpstr>www</vt:lpstr>
      <vt:lpstr>zeilenindex</vt:lpstr>
      <vt:lpstr>zustext</vt:lpstr>
      <vt:lpstr>zvrzahl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2019-04-02T21:00:08Z</cp:lastPrinted>
  <dcterms:created xsi:type="dcterms:W3CDTF">2018-11-03T22:12:52Z</dcterms:created>
  <dcterms:modified xsi:type="dcterms:W3CDTF">2019-04-02T21:05:21Z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