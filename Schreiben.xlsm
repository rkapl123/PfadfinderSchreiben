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13_ncr:1_{2B8DC47B-719E-45ED-960D-6F0A6A13A180}" xr6:coauthVersionLast="43" xr6:coauthVersionMax="43" xr10:uidLastSave="{00000000-0000-0000-0000-000000000000}"/>
  <bookViews>
    <workbookView xWindow="0" yWindow="1170" windowWidth="20490" windowHeight="9735" xr2:uid="{421875AE-9E43-4A9C-BE85-4FFA29F10D3A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Liste!$V$6</definedName>
    <definedName name="bank">Parameter!$B$10</definedName>
    <definedName name="datenträger">Brief!$H$1</definedName>
    <definedName name="_xlnm.Print_Area" localSheetId="0">Brief!$A$1:$D$33</definedName>
    <definedName name="einschreibgeb">Parameter!$B$5</definedName>
    <definedName name="einschreibsumme">Brief!$H$9</definedName>
    <definedName name="ermässigt">Liste!$V$8:$X$8</definedName>
    <definedName name="exportfile">Liste!$X$1</definedName>
    <definedName name="FunktionenErwMitglieder">Liste!$V$12:$V$17</definedName>
    <definedName name="gebührgesamt">Brief!$H$10</definedName>
    <definedName name="gitOrdner">Liste!$V$20</definedName>
    <definedName name="konto">Parameter!$B$8</definedName>
    <definedName name="kopfname">Parameter!$B$7</definedName>
    <definedName name="lautend_auf">Parameter!$B$9</definedName>
    <definedName name="LeiterÜbernehmen">Liste!$V$4</definedName>
    <definedName name="mglbeitragsumme">Brief!$H$7</definedName>
    <definedName name="mitglbeitrag">Parameter!$B$1</definedName>
    <definedName name="mitglbeitragweitere">Parameter!$B$2</definedName>
    <definedName name="neuregistrierungAb">Liste!$V$10</definedName>
    <definedName name="pfadis">Brief!$H$11</definedName>
    <definedName name="QRCode">Brief!$A$23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Brief!$A$12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V6" i="3" l="1"/>
  <c r="H4" i="1"/>
  <c r="A1" i="1"/>
  <c r="D33" i="1"/>
  <c r="D32" i="1"/>
  <c r="A33" i="1"/>
  <c r="A32" i="1"/>
  <c r="A31" i="1"/>
  <c r="D31" i="1"/>
  <c r="A16" i="1" l="1"/>
  <c r="A3" i="1"/>
  <c r="V10" i="3"/>
  <c r="A9" i="1"/>
  <c r="A8" i="1"/>
  <c r="H11" i="1"/>
  <c r="I5" i="1"/>
  <c r="H7" i="1" s="1"/>
  <c r="H5" i="1"/>
  <c r="A15" i="1" l="1"/>
  <c r="H3" i="1"/>
  <c r="A5" i="1" s="1"/>
  <c r="H6" i="1"/>
  <c r="H9" i="1" s="1"/>
  <c r="H8" i="1" l="1"/>
  <c r="A12" i="1" s="1"/>
  <c r="J1" i="1" l="1"/>
  <c r="H10" i="1"/>
  <c r="H1" i="1" l="1"/>
  <c r="A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H1" authorId="0" shapeId="0" xr:uid="{9B2079C0-5EA8-407B-A564-B34DA6804922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<sst xmlns="http://schemas.openxmlformats.org/spreadsheetml/2006/main" count="111" uniqueCount="78">
  <si>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</si>
  <si>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</si>
  <si>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</si>
  <si>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</si>
  <si>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</si>
  <si>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</si>
  <si>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</si>
  <si>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</si>
  <si>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</si>
  <si>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</si>
  <si>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</si>
  <si>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</si>
  <si>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</si>
  <si>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</si>
  <si>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</si>
  <si>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</si>
  <si>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</si>
  <si>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</si>
  <si>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</si>
  <si>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</si>
  <si>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</si>
  <si>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</si>
  <si>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</si>
  <si>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</si>
  <si>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</si>
  <si>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</si>
  <si>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</si>
  <si>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</si>
  <si>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</si>
  <si>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</si>
  <si>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</si>
  <si>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</si>
  <si>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</si>
  <si>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</si>
  <si>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</si>
  <si>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</si>
  <si>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</si>
  <si>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</si>
  <si>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</si>
  <si>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</si>
  <si>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</si>
  <si>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</si>
  <si>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</si>
  <si>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</si>
  <si>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</si>
  <si>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</si>
  <si>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</si>
  <si>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</si>
  <si>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</si>
  <si>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Beispiel</t>
  </si>
  <si>
    <t>Musterbeispiel</t>
  </si>
  <si>
    <t>Adam</t>
  </si>
  <si>
    <t>Eva</t>
  </si>
  <si>
    <t>Kain</t>
  </si>
  <si>
    <t>Abel</t>
  </si>
  <si>
    <t>Seth</t>
  </si>
  <si>
    <t>Noah</t>
  </si>
  <si>
    <t>Abraham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</si>
  <si>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</si>
  <si>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</si>
  <si>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</si>
  <si>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</si>
  <si>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</si>
  <si>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</si>
  <si>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</si>
  <si>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</si>
  <si>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</si>
  <si>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</si>
  <si>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</si>
  <si>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</si>
  <si>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</si>
  <si>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</si>
  <si>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Beginn des Pfadijahrs (zur Ermittlung Einschreibgebühr und allgemeine Steuerung):</t>
  </si>
  <si>
    <t>Neuregistrierungen ab:</t>
  </si>
  <si>
    <t>GAB-Person-Export_2019-03-25.xls</t>
  </si>
  <si>
    <t>Nicht importieren wenn "Ermäßigt" auf:</t>
  </si>
  <si>
    <t>P</t>
  </si>
  <si>
    <t>PWA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</si>
</sst>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0" fontId="0" fillId="0" borderId="0" xfId="0" quotePrefix="1" applyAlignment="1">
      <alignment vertical="top" wrapText="1"/>
    </xf>
    <xf numFmtId="0" fontId="0" fillId="0" borderId="0" xfId="0" applyAlignment="1">
      <alignment horizontal="left" vertical="top" wrapText="1"/>
    </xf>
    <xf numFmtId="14" fontId="0" fillId="4" borderId="0" xfId="0" applyNumberFormat="1" applyFill="1"/>
    <xf numFmtId="0" fontId="0" fillId="4" borderId="0" xfId="0" applyFill="1"/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39CBE8D-270F-463C-852D-F92365D19007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AllSync\Elternrat\Schriftf&#252;hrung\Jahresgeb&#252;hr\excel_temp.svg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27</xdr:row>
      <xdr:rowOff>46005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1714500</xdr:colOff>
      <xdr:row>23</xdr:row>
      <xdr:rowOff>0</xdr:rowOff>
    </xdr:to>
    <xdr:pic>
      <xdr:nvPicPr>
        <xdr:cNvPr id="28" name="QRCODE_ZAHLUNG">
          <a:extLst>
            <a:ext uri="{FF2B5EF4-FFF2-40B4-BE49-F238E27FC236}">
              <a16:creationId xmlns:a16="http://schemas.microsoft.com/office/drawing/2014/main" id="{B3A994D7-F7B3-4A09-BE71-3BCDF760B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link="rId3"/>
            </a:ext>
          </a:extLst>
        </a:blip>
        <a:stretch>
          <a:fillRect/>
        </a:stretch>
      </xdr:blipFill>
      <xdr:spPr>
        <a:xfrm>
          <a:off x="0" y="6334125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23</xdr:col>
          <xdr:colOff>0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aus 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18</xdr:row>
          <xdr:rowOff>0</xdr:rowOff>
        </xdr:from>
        <xdr:to>
          <xdr:col>23</xdr:col>
          <xdr:colOff>161925</xdr:colOff>
          <xdr:row>19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3C5811-8ADD-4C8F-ABD0-88AA9D57F8C8}" name="Liste" displayName="Liste" ref="A1:T1048561" totalsRowShown="0">
  <tableColumns count="20">
    <tableColumn id="1" xr3:uid="{F116C924-55EF-442D-B496-4E0D625C806D}" name="Anrede"/>
    <tableColumn id="2" xr3:uid="{2D4BF347-F93D-4DA6-A4C4-4AB01B8AC0D1}" name="Name"/>
    <tableColumn id="3" xr3:uid="{864AB519-AA09-467F-976C-0ACBD711836D}" name="Vorname1" dataDxfId="9"/>
    <tableColumn id="4" xr3:uid="{4232D329-7338-4911-B995-A571BB343DCA}" name="Einschreib1"/>
    <tableColumn id="12" xr3:uid="{C7DBBC3E-BEDA-4129-8E46-9C7229D4F4DC}" name="Ermäßigt1" dataDxfId="8"/>
    <tableColumn id="5" xr3:uid="{04AC46FE-A1D7-4AC0-8A3A-E0CA9DDD1EA8}" name="Vorname2" dataDxfId="7"/>
    <tableColumn id="6" xr3:uid="{3986CB50-67F0-4B02-8529-6FBC4B3D924F}" name="Einschreib2"/>
    <tableColumn id="13" xr3:uid="{08F81845-8E4B-41DA-B60D-6B4F4DE99558}" name="Ermäßigt2" dataDxfId="6"/>
    <tableColumn id="7" xr3:uid="{5C0D0E5E-3234-45AC-9F67-6B786DF5750B}" name="Vorname3" dataDxfId="5"/>
    <tableColumn id="8" xr3:uid="{0E922B8C-E0E9-46D8-8E8B-A92EAAC4FD0D}" name="Einschreib3"/>
    <tableColumn id="14" xr3:uid="{0591BA5F-AAC8-49B8-A991-A9D40B95F339}" name="Ermäßigt3" dataDxfId="4"/>
    <tableColumn id="9" xr3:uid="{6709BE4A-9D8F-4C79-9AE4-0AA000E5BF18}" name="Vorname4" dataDxfId="3"/>
    <tableColumn id="10" xr3:uid="{71D72D7F-18A8-4044-B053-275FC087C28F}" name="Einschreib4"/>
    <tableColumn id="15" xr3:uid="{0C4A3B11-5C0D-4275-A11D-199E9A9FCA0C}" name="Ermäßigt4" dataDxfId="2"/>
    <tableColumn id="11" xr3:uid="{CC67AC76-DAB1-4AA7-ABCE-294B4B2B0DA3}" name="Vorname5" dataDxfId="1"/>
    <tableColumn id="16" xr3:uid="{FAF7FE46-1D71-4A59-B39F-DB478C3AC3DF}" name="Einschreib5"/>
    <tableColumn id="17" xr3:uid="{9AE0EE07-AE07-4BA0-B893-C8401D1062FE}" name="Ermäßigt5" dataDxfId="0"/>
    <tableColumn id="18" xr3:uid="{CD6EA8F8-57EE-4D20-BC6E-1390D9D88EC5}" name="Vorname6"/>
    <tableColumn id="19" xr3:uid="{16CEF518-A4BC-4434-B289-6E924B89EAFE}" name="Einschreib6"/>
    <tableColumn id="20" xr3:uid="{BA809B56-5F8D-476F-A20B-B46C22E744B2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260B-A099-4E8D-B2F2-3F95C911F5AD}">
  <sheetPr codeName="Tabelle1"/>
  <dimension ref="A1:J33"/>
  <sheetViews>
    <sheetView tabSelected="1" view="pageBreakPreview" zoomScale="85" zoomScaleNormal="100" zoomScaleSheetLayoutView="85" workbookViewId="0">
      <selection activeCell="B6" sqref="B6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60" customHeight="1" x14ac:dyDescent="0.25">
      <c r="A1" s="7" t="str">
        <f>kopfname</f>
        <v>Gruppe Musterhausen</v>
      </c>
      <c r="B1" s="2"/>
      <c r="F1">
        <v>1</v>
      </c>
      <c r="H1" s="29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MusterKainAbel18/19
Verband: 40,5;Gruppe:105;Einschreib:50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x14ac:dyDescent="0.25">
      <c r="B2" s="2"/>
    </row>
    <row r="3" spans="1:10" x14ac:dyDescent="0.25">
      <c r="A3" s="8" t="str">
        <f ca="1">"Mitgliedsbeitrag "&amp;AufnahmeJahr&amp;"/"&amp;RIGHT(AufnahmeJahr+1,2)</f>
        <v>Mitgliedsbeitrag 2018/19</v>
      </c>
      <c r="B3" s="2"/>
      <c r="H3" t="str">
        <f>INDEX(Liste[Anrede],zeilenindex)&amp;" "&amp;INDEX(Liste[Name],zeilenindex)&amp;" !"</f>
        <v>Familie Muster !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</f>
        <v>MusterKainAbel</v>
      </c>
    </row>
    <row r="5" spans="1:10" x14ac:dyDescent="0.25">
      <c r="A5" t="str">
        <f>"Liebe"&amp;IF(INDEX(Liste[Anrede],zeilenindex)="Herr","r "," ")&amp;anrede</f>
        <v>Liebe Familie Muster !</v>
      </c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</f>
        <v>2</v>
      </c>
    </row>
    <row r="6" spans="1:10" x14ac:dyDescent="0.25">
      <c r="H6">
        <f>IF(INDEX(Liste[Einschreib1],zeilenindex)&lt;&gt;"",1,0)+IF(INDEX(Liste[Einschreib2],zeilenindex)&lt;&gt;"",1,0)+IF(INDEX(Liste[Einschreib3],zeilenindex)&lt;&gt;"",1,0)+IF(INDEX(Liste[Einschreib4],zeilenindex)&lt;&gt;"",1,0)</f>
        <v>2</v>
      </c>
    </row>
    <row r="7" spans="1:10" ht="138.75" customHeight="1" x14ac:dyDescent="0.25">
      <c r="A7" s="30" t="s">
        <v>31</v>
      </c>
      <c r="B7" s="30"/>
      <c r="C7" s="30"/>
      <c r="D7" s="30"/>
      <c r="H7">
        <f>IF(anzKinder&gt;0,mitglbeitrag+mitglbeitragweitere*(anzKinder-1),0)</f>
        <v>105</v>
      </c>
    </row>
    <row r="8" spans="1:10" x14ac:dyDescent="0.25">
      <c r="A8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8">
        <f>IF(anzMitgl&gt;0,reg+regweitere*(anzMitgl-1),0)</f>
        <v>40.5</v>
      </c>
    </row>
    <row r="9" spans="1:10" x14ac:dyDescent="0.25">
      <c r="A9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  <c r="H9">
        <f>einschreibgeb*anzEinschreib</f>
        <v>50</v>
      </c>
    </row>
    <row r="10" spans="1:10" x14ac:dyDescent="0.25">
      <c r="H10">
        <f>SUM(H7:H9)</f>
        <v>195.5</v>
      </c>
    </row>
    <row r="11" spans="1:10" x14ac:dyDescent="0.25">
      <c r="A11" t="str">
        <f>"Der gesamte zu zahlende Betrag für "&amp;IF(INDEX(Liste[Anrede],zeilenindex)="Familie",pfadis,"Sie")&amp;" ist somit: € "&amp;TEXT(gebührgesamt,"0,00")</f>
        <v>Der gesamte zu zahlende Betrag für Kain und Abel ist somit: € 195,50</v>
      </c>
      <c r="H11" t="str">
        <f>INDEX(Liste[Vorname1],zeilenindex)&amp;IF(INDEX(Liste[Vorname2],zeilenindex)&lt;&gt;""," und "&amp;INDEX(Liste[Vorname2],zeilenindex)&amp;IF(INDEX(Liste[Vorname3],zeilenindex)&lt;&gt;""," und "&amp;INDEX(Liste[Vorname3],zeilenindex)&amp;IF(INDEX(Liste[Vorname4],zeilenindex)&lt;&gt;""," und "&amp;INDEX(Liste[Vorname4],zeilenindex),""),""),"")</f>
        <v>Kain und Abel</v>
      </c>
    </row>
    <row r="12" spans="1:10" x14ac:dyDescent="0.25">
      <c r="A12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3" spans="1:10" x14ac:dyDescent="0.25">
      <c r="E13" s="11" t="s">
        <v>34</v>
      </c>
    </row>
    <row r="14" spans="1:10" x14ac:dyDescent="0.25">
      <c r="A14" t="str">
        <f>"Bitte obigen Betrag auf das Konto "&amp;konto&amp;" bei der "&amp;bank&amp;","</f>
        <v>Bitte obigen Betrag auf das Konto AT12345600000987654 bei der Musterhausenbank,</v>
      </c>
    </row>
    <row r="15" spans="1:10" x14ac:dyDescent="0.25">
      <c r="A15" t="str">
        <f>"lautend auf """&amp;lautend_auf&amp;""" überweisen."</f>
        <v>lautend auf "PPÖ Pfadfindergruppe Musterhausen" überweisen.</v>
      </c>
    </row>
    <row r="16" spans="1:10" x14ac:dyDescent="0.25">
      <c r="A16" t="str">
        <f ca="1">"Als Verwendungszweck bitte "&amp;referenz&amp;RIGHT(AufnahmeJahr,2)&amp;"/"&amp;RIGHT(AufnahmeJahr,2)+1&amp;" angeben."</f>
        <v>Als Verwendungszweck bitte MusterKainAbel18/19 angeben.</v>
      </c>
    </row>
    <row r="19" spans="1:4" x14ac:dyDescent="0.25">
      <c r="A19" t="s">
        <v>15</v>
      </c>
    </row>
    <row r="20" spans="1:4" x14ac:dyDescent="0.25">
      <c r="A20" t="s">
        <v>22</v>
      </c>
    </row>
    <row r="22" spans="1:4" x14ac:dyDescent="0.25">
      <c r="A22" t="s">
        <v>11</v>
      </c>
    </row>
    <row r="23" spans="1:4" ht="135" customHeight="1" x14ac:dyDescent="0.25"/>
    <row r="30" spans="1:4" x14ac:dyDescent="0.25">
      <c r="A30" s="5" t="s">
        <v>28</v>
      </c>
      <c r="D30" s="6" t="s">
        <v>29</v>
      </c>
    </row>
    <row r="31" spans="1:4" x14ac:dyDescent="0.25">
      <c r="A31" s="5" t="str">
        <f>adresse</f>
        <v>9999 Musterhausen, Beispielplatz 1</v>
      </c>
      <c r="D31" s="6" t="str">
        <f>bank</f>
        <v>Musterhausenbank</v>
      </c>
    </row>
    <row r="32" spans="1:4" x14ac:dyDescent="0.25">
      <c r="A32" s="5" t="str">
        <f>"ZVR-Zahl: "&amp;zvrzahl</f>
        <v>ZVR-Zahl: 123456789</v>
      </c>
      <c r="D32" s="6" t="str">
        <f>konto</f>
        <v>AT12345600000987654</v>
      </c>
    </row>
    <row r="33" spans="1:4" x14ac:dyDescent="0.25">
      <c r="A33" s="9" t="str">
        <f>www</f>
        <v>pfadfinder-musterhausen.at</v>
      </c>
      <c r="C33" s="4"/>
      <c r="D33" s="6" t="str">
        <f>"ltd. auf "&amp;lautend_auf</f>
        <v>ltd. auf PPÖ Pfadfindergruppe Musterhausen</v>
      </c>
    </row>
  </sheetData>
  <dataConsolidate/>
  <mergeCells count="1">
    <mergeCell ref="A7:D7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A2E2-B69D-4547-80D1-7527CA338335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58</v>
      </c>
    </row>
    <row r="8" spans="1:4" x14ac:dyDescent="0.25">
      <c r="A8" t="s">
        <v>4</v>
      </c>
      <c r="B8" t="s">
        <v>59</v>
      </c>
    </row>
    <row r="9" spans="1:4" x14ac:dyDescent="0.25">
      <c r="A9" t="s">
        <v>5</v>
      </c>
      <c r="B9" t="s">
        <v>60</v>
      </c>
      <c r="D9" s="28"/>
    </row>
    <row r="10" spans="1:4" x14ac:dyDescent="0.25">
      <c r="A10" t="s">
        <v>16</v>
      </c>
      <c r="B10" t="s">
        <v>61</v>
      </c>
    </row>
    <row r="11" spans="1:4" x14ac:dyDescent="0.25">
      <c r="A11" t="s">
        <v>35</v>
      </c>
      <c r="B11" t="s">
        <v>62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63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863F-6D34-42EB-82FE-E5F11CB52934}">
  <sheetPr codeName="importListe">
    <outlinePr summaryRight="0"/>
  </sheetPr>
  <dimension ref="A1:X20"/>
  <sheetViews>
    <sheetView workbookViewId="0">
      <pane ySplit="1" topLeftCell="A2" activePane="bottomLeft" state="frozen"/>
      <selection pane="bottomLeft" activeCell="A2" sqref="A2:T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11.85546875" style="15" customWidth="1" outlineLevel="1"/>
    <col min="4" max="4" width="4" customWidth="1" outlineLevel="1"/>
    <col min="5" max="5" width="4" style="16" customWidth="1" outlineLevel="1"/>
    <col min="6" max="6" width="10.140625" style="15" customWidth="1" outlineLevel="1"/>
    <col min="7" max="8" width="4" customWidth="1" outlineLevel="1"/>
    <col min="9" max="9" width="10.140625" style="15" customWidth="1" outlineLevel="1"/>
    <col min="10" max="10" width="4" customWidth="1" outlineLevel="1"/>
    <col min="11" max="11" width="4" style="16" customWidth="1" outlineLevel="1"/>
    <col min="12" max="12" width="10.140625" style="15" customWidth="1" outlineLevel="1"/>
    <col min="13" max="13" width="4" customWidth="1" outlineLevel="1"/>
    <col min="14" max="14" width="4" style="16" customWidth="1" outlineLevel="1"/>
    <col min="15" max="15" width="10.140625" style="15" customWidth="1" outlineLevel="1"/>
    <col min="16" max="16" width="4" customWidth="1" outlineLevel="1"/>
    <col min="17" max="17" width="4" style="16" customWidth="1" outlineLevel="1"/>
    <col min="18" max="18" width="11.140625" customWidth="1" outlineLevel="1"/>
    <col min="19" max="19" width="3.7109375" customWidth="1" outlineLevel="1"/>
    <col min="20" max="20" width="4" customWidth="1" outlineLevel="1"/>
    <col min="23" max="23" width="15.7109375" customWidth="1"/>
  </cols>
  <sheetData>
    <row r="1" spans="1:24" x14ac:dyDescent="0.25">
      <c r="A1" t="s">
        <v>12</v>
      </c>
      <c r="B1" t="s">
        <v>6</v>
      </c>
      <c r="C1" s="12" t="s">
        <v>17</v>
      </c>
      <c r="D1" s="13" t="s">
        <v>7</v>
      </c>
      <c r="E1" s="14" t="s">
        <v>23</v>
      </c>
      <c r="F1" t="s">
        <v>18</v>
      </c>
      <c r="G1" t="s">
        <v>8</v>
      </c>
      <c r="H1" t="s">
        <v>24</v>
      </c>
      <c r="I1" s="12" t="s">
        <v>19</v>
      </c>
      <c r="J1" s="13" t="s">
        <v>9</v>
      </c>
      <c r="K1" s="14" t="s">
        <v>25</v>
      </c>
      <c r="L1" s="12" t="s">
        <v>20</v>
      </c>
      <c r="M1" s="13" t="s">
        <v>10</v>
      </c>
      <c r="N1" s="14" t="s">
        <v>26</v>
      </c>
      <c r="O1" s="12" t="s">
        <v>39</v>
      </c>
      <c r="P1" s="13" t="s">
        <v>40</v>
      </c>
      <c r="Q1" s="14" t="s">
        <v>41</v>
      </c>
      <c r="R1" s="12" t="s">
        <v>42</v>
      </c>
      <c r="S1" s="13" t="s">
        <v>43</v>
      </c>
      <c r="T1" s="14" t="s">
        <v>44</v>
      </c>
      <c r="X1" t="s">
        <v>74</v>
      </c>
    </row>
    <row r="2" spans="1:24" x14ac:dyDescent="0.25">
      <c r="A2" s="17" t="s">
        <v>13</v>
      </c>
      <c r="B2" s="18" t="s">
        <v>46</v>
      </c>
      <c r="C2" s="19" t="s">
        <v>53</v>
      </c>
      <c r="D2" s="18" t="s">
        <v>33</v>
      </c>
      <c r="E2" s="20"/>
      <c r="F2" s="19" t="s">
        <v>54</v>
      </c>
      <c r="G2" s="21" t="s">
        <v>33</v>
      </c>
      <c r="H2" s="21"/>
      <c r="I2" s="19"/>
      <c r="J2" s="18"/>
      <c r="K2" s="20"/>
      <c r="L2" s="19"/>
      <c r="M2" s="18"/>
      <c r="N2" s="20"/>
      <c r="O2" s="19"/>
      <c r="P2" s="18"/>
      <c r="Q2" s="20"/>
      <c r="R2" s="18"/>
      <c r="S2" s="18"/>
      <c r="T2" s="22"/>
    </row>
    <row r="3" spans="1:24" x14ac:dyDescent="0.25">
      <c r="A3" s="23" t="s">
        <v>14</v>
      </c>
      <c r="B3" s="24" t="s">
        <v>47</v>
      </c>
      <c r="C3" s="25" t="s">
        <v>51</v>
      </c>
      <c r="D3" s="24"/>
      <c r="E3" s="26" t="s">
        <v>32</v>
      </c>
      <c r="F3" s="25"/>
      <c r="G3" s="24"/>
      <c r="H3" s="24"/>
      <c r="I3" s="25"/>
      <c r="J3" s="24"/>
      <c r="K3" s="26"/>
      <c r="L3" s="25"/>
      <c r="M3" s="24"/>
      <c r="N3" s="26"/>
      <c r="O3" s="25"/>
      <c r="P3" s="24"/>
      <c r="Q3" s="26"/>
      <c r="R3" s="24"/>
      <c r="S3" s="24"/>
      <c r="T3" s="27"/>
      <c r="V3" t="s">
        <v>71</v>
      </c>
    </row>
    <row r="4" spans="1:24" x14ac:dyDescent="0.25">
      <c r="A4" s="17" t="s">
        <v>21</v>
      </c>
      <c r="B4" s="18" t="s">
        <v>48</v>
      </c>
      <c r="C4" s="19" t="s">
        <v>52</v>
      </c>
      <c r="D4" s="18"/>
      <c r="E4" s="20" t="s">
        <v>32</v>
      </c>
      <c r="F4" s="19"/>
      <c r="G4" s="18"/>
      <c r="H4" s="18"/>
      <c r="I4" s="19"/>
      <c r="J4" s="18"/>
      <c r="K4" s="20"/>
      <c r="L4" s="19"/>
      <c r="M4" s="18"/>
      <c r="N4" s="20"/>
      <c r="O4" s="19"/>
      <c r="P4" s="18"/>
      <c r="Q4" s="20"/>
      <c r="R4" s="18"/>
      <c r="S4" s="18"/>
      <c r="T4" s="22"/>
      <c r="V4" s="10" t="s">
        <v>30</v>
      </c>
    </row>
    <row r="5" spans="1:24" x14ac:dyDescent="0.25">
      <c r="A5" s="23" t="s">
        <v>13</v>
      </c>
      <c r="B5" s="24" t="s">
        <v>49</v>
      </c>
      <c r="C5" s="25" t="s">
        <v>56</v>
      </c>
      <c r="D5" s="24"/>
      <c r="E5" s="26" t="s">
        <v>32</v>
      </c>
      <c r="F5" s="25" t="s">
        <v>55</v>
      </c>
      <c r="G5" s="24"/>
      <c r="H5" s="24"/>
      <c r="I5" s="25"/>
      <c r="J5" s="24"/>
      <c r="K5" s="26"/>
      <c r="L5" s="25"/>
      <c r="M5" s="24"/>
      <c r="N5" s="26"/>
      <c r="O5" s="25"/>
      <c r="P5" s="24"/>
      <c r="Q5" s="26"/>
      <c r="R5" s="24"/>
      <c r="S5" s="24"/>
      <c r="T5" s="27"/>
      <c r="V5" t="s">
        <v>72</v>
      </c>
    </row>
    <row r="6" spans="1:24" x14ac:dyDescent="0.25">
      <c r="A6" s="17" t="s">
        <v>13</v>
      </c>
      <c r="B6" s="18" t="s">
        <v>50</v>
      </c>
      <c r="C6" s="19" t="s">
        <v>57</v>
      </c>
      <c r="D6" s="18"/>
      <c r="E6" s="20"/>
      <c r="F6" s="19"/>
      <c r="G6" s="18"/>
      <c r="H6" s="18"/>
      <c r="I6" s="19"/>
      <c r="J6" s="18"/>
      <c r="K6" s="20"/>
      <c r="L6" s="19"/>
      <c r="M6" s="18"/>
      <c r="N6" s="20"/>
      <c r="O6" s="19"/>
      <c r="P6" s="18"/>
      <c r="Q6" s="20"/>
      <c r="R6" s="18"/>
      <c r="S6" s="18"/>
      <c r="T6" s="22"/>
      <c r="V6" s="32">
        <f ca="1">YEAR(TODAY())-1</f>
        <v>2018</v>
      </c>
    </row>
    <row r="7" spans="1:24" x14ac:dyDescent="0.25">
      <c r="V7" t="s">
        <v>75</v>
      </c>
    </row>
    <row r="8" spans="1:24" x14ac:dyDescent="0.25">
      <c r="V8" s="10" t="s">
        <v>76</v>
      </c>
      <c r="W8" s="10" t="s">
        <v>77</v>
      </c>
      <c r="X8" s="10"/>
    </row>
    <row r="9" spans="1:24" x14ac:dyDescent="0.25">
      <c r="V9" t="s">
        <v>73</v>
      </c>
    </row>
    <row r="10" spans="1:24" x14ac:dyDescent="0.25">
      <c r="V10" s="31">
        <f ca="1">DATE(AufnahmeJahr,1,31)</f>
        <v>43131</v>
      </c>
    </row>
    <row r="11" spans="1:24" x14ac:dyDescent="0.25">
      <c r="V11" t="s">
        <v>70</v>
      </c>
    </row>
    <row r="12" spans="1:24" x14ac:dyDescent="0.25">
      <c r="V12" s="10" t="s">
        <v>65</v>
      </c>
    </row>
    <row r="13" spans="1:24" x14ac:dyDescent="0.25">
      <c r="V13" s="10" t="s">
        <v>66</v>
      </c>
    </row>
    <row r="14" spans="1:24" x14ac:dyDescent="0.25">
      <c r="V14" s="10" t="s">
        <v>67</v>
      </c>
    </row>
    <row r="15" spans="1:24" x14ac:dyDescent="0.25">
      <c r="V15" s="10" t="s">
        <v>68</v>
      </c>
    </row>
    <row r="16" spans="1:24" x14ac:dyDescent="0.25">
      <c r="V16" s="10" t="s">
        <v>69</v>
      </c>
    </row>
    <row r="17" spans="22:22" x14ac:dyDescent="0.25">
      <c r="V17" s="10" t="s">
        <v>64</v>
      </c>
    </row>
    <row r="20" spans="22:22" x14ac:dyDescent="0.25">
      <c r="V20" t="s">
        <v>45</v>
      </c>
    </row>
  </sheetData>
  <dataValidations count="1">
    <dataValidation type="list" allowBlank="1" showInputMessage="1" showErrorMessage="1" sqref="V4" xr:uid="{DA7A57B9-E765-4E78-A2A2-BCE910547E8F}">
      <formula1>"Ja,Nein"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23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21</xdr:col>
                    <xdr:colOff>19050</xdr:colOff>
                    <xdr:row>18</xdr:row>
                    <xdr:rowOff>0</xdr:rowOff>
                  </from>
                  <to>
                    <xdr:col>23</xdr:col>
                    <xdr:colOff>161925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03F8-9C4D-46B6-90F0-A4F45ED24B44}">
  <sheetPr codeName="Tabelle3"/>
  <dimension ref="B1:W13"/>
  <sheetViews>
    <sheetView workbookViewId="0">
      <selection activeCell="D17" sqref="D17"/>
    </sheetView>
  </sheetViews>
  <sheetFormatPr baseColWidth="10" defaultRowHeight="15" x14ac:dyDescent="0.25"/>
  <sheetData>
    <row r="1" spans="2:23" x14ac:dyDescent="0.25">
      <c r="B1" s="2">
        <v>70</v>
      </c>
      <c r="D1" s="17" t="s">
        <v>13</v>
      </c>
      <c r="E1" s="18" t="s">
        <v>46</v>
      </c>
      <c r="F1" s="19" t="s">
        <v>53</v>
      </c>
      <c r="G1" s="18" t="s">
        <v>33</v>
      </c>
      <c r="H1" s="20"/>
      <c r="I1" s="19" t="s">
        <v>54</v>
      </c>
      <c r="J1" s="21" t="s">
        <v>33</v>
      </c>
      <c r="K1" s="21"/>
      <c r="L1" s="19"/>
      <c r="M1" s="18"/>
      <c r="N1" s="20"/>
      <c r="O1" s="19"/>
      <c r="P1" s="18"/>
      <c r="Q1" s="20"/>
      <c r="R1" s="19"/>
      <c r="S1" s="18"/>
      <c r="T1" s="20"/>
      <c r="U1" s="18"/>
      <c r="V1" s="18"/>
      <c r="W1" s="22"/>
    </row>
    <row r="2" spans="2:23" x14ac:dyDescent="0.25">
      <c r="B2" s="2">
        <v>35</v>
      </c>
      <c r="D2" s="23" t="s">
        <v>14</v>
      </c>
      <c r="E2" s="24" t="s">
        <v>47</v>
      </c>
      <c r="F2" s="25" t="s">
        <v>51</v>
      </c>
      <c r="G2" s="24"/>
      <c r="H2" s="26" t="s">
        <v>32</v>
      </c>
      <c r="I2" s="25"/>
      <c r="J2" s="24"/>
      <c r="K2" s="24"/>
      <c r="L2" s="25"/>
      <c r="M2" s="24"/>
      <c r="N2" s="26"/>
      <c r="O2" s="25"/>
      <c r="P2" s="24"/>
      <c r="Q2" s="26"/>
      <c r="R2" s="25"/>
      <c r="S2" s="24"/>
      <c r="T2" s="26"/>
      <c r="U2" s="24"/>
      <c r="V2" s="24"/>
      <c r="W2" s="27"/>
    </row>
    <row r="3" spans="2:23" x14ac:dyDescent="0.25">
      <c r="B3" s="2">
        <v>27</v>
      </c>
      <c r="D3" s="17" t="s">
        <v>21</v>
      </c>
      <c r="E3" s="18" t="s">
        <v>48</v>
      </c>
      <c r="F3" s="19" t="s">
        <v>52</v>
      </c>
      <c r="G3" s="18"/>
      <c r="H3" s="20" t="s">
        <v>32</v>
      </c>
      <c r="I3" s="19"/>
      <c r="J3" s="18"/>
      <c r="K3" s="18"/>
      <c r="L3" s="19"/>
      <c r="M3" s="18"/>
      <c r="N3" s="20"/>
      <c r="O3" s="19"/>
      <c r="P3" s="18"/>
      <c r="Q3" s="20"/>
      <c r="R3" s="19"/>
      <c r="S3" s="18"/>
      <c r="T3" s="20"/>
      <c r="U3" s="18"/>
      <c r="V3" s="18"/>
      <c r="W3" s="22"/>
    </row>
    <row r="4" spans="2:23" x14ac:dyDescent="0.25">
      <c r="B4" s="2">
        <v>13.5</v>
      </c>
      <c r="D4" s="23" t="s">
        <v>13</v>
      </c>
      <c r="E4" s="24" t="s">
        <v>49</v>
      </c>
      <c r="F4" s="25" t="s">
        <v>56</v>
      </c>
      <c r="G4" s="24"/>
      <c r="H4" s="26" t="s">
        <v>32</v>
      </c>
      <c r="I4" s="25" t="s">
        <v>55</v>
      </c>
      <c r="J4" s="24"/>
      <c r="K4" s="24"/>
      <c r="L4" s="25"/>
      <c r="M4" s="24"/>
      <c r="N4" s="26"/>
      <c r="O4" s="25"/>
      <c r="P4" s="24"/>
      <c r="Q4" s="26"/>
      <c r="R4" s="25"/>
      <c r="S4" s="24"/>
      <c r="T4" s="26"/>
      <c r="U4" s="24"/>
      <c r="V4" s="24"/>
      <c r="W4" s="27"/>
    </row>
    <row r="5" spans="2:23" x14ac:dyDescent="0.25">
      <c r="B5" s="2">
        <v>25</v>
      </c>
      <c r="D5" s="17" t="s">
        <v>13</v>
      </c>
      <c r="E5" s="18" t="s">
        <v>50</v>
      </c>
      <c r="F5" s="19" t="s">
        <v>57</v>
      </c>
      <c r="G5" s="18"/>
      <c r="H5" s="20"/>
      <c r="I5" s="19"/>
      <c r="J5" s="18"/>
      <c r="K5" s="18"/>
      <c r="L5" s="19"/>
      <c r="M5" s="18"/>
      <c r="N5" s="20"/>
      <c r="O5" s="19"/>
      <c r="P5" s="18"/>
      <c r="Q5" s="20"/>
      <c r="R5" s="19"/>
      <c r="S5" s="18"/>
      <c r="T5" s="20"/>
      <c r="U5" s="18"/>
      <c r="V5" s="18"/>
      <c r="W5" s="22"/>
    </row>
    <row r="7" spans="2:23" x14ac:dyDescent="0.25">
      <c r="B7" t="s">
        <v>58</v>
      </c>
    </row>
    <row r="8" spans="2:23" x14ac:dyDescent="0.25">
      <c r="B8" t="s">
        <v>59</v>
      </c>
    </row>
    <row r="9" spans="2:23" x14ac:dyDescent="0.25">
      <c r="B9" t="s">
        <v>60</v>
      </c>
    </row>
    <row r="10" spans="2:23" x14ac:dyDescent="0.25">
      <c r="B10" t="s">
        <v>61</v>
      </c>
    </row>
    <row r="11" spans="2:23" x14ac:dyDescent="0.25">
      <c r="B11" t="s">
        <v>62</v>
      </c>
    </row>
    <row r="12" spans="2:23" x14ac:dyDescent="0.25">
      <c r="B12">
        <v>123456789</v>
      </c>
    </row>
    <row r="13" spans="2:23" x14ac:dyDescent="0.25">
      <c r="B13" t="s">
        <v>63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37</vt:i4>
      </vt:variant>
    </vt:vector>
  </HeadingPairs>
  <TitlesOfParts>
    <vt:vector size="41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2019-03-25T21:20:17Z</cp:lastPrinted>
  <dcterms:created xsi:type="dcterms:W3CDTF">2018-11-03T22:12:52Z</dcterms:created>
  <dcterms:modified xsi:type="dcterms:W3CDTF">2019-03-25T21:23:36Z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