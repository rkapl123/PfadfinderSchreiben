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DieseArbeitsmappe" defaultThemeVersion="166925"/>
  <mc:AlternateContent xmlns:mc="http://schemas.openxmlformats.org/markup-compatibility/2006">
    <mc:Choice Requires="x15">
      <x15ac:absPath xmlns:x15ac="http://schemas.microsoft.com/office/spreadsheetml/2010/11/ac" url="C:\dev\PfadfinderSchreiben\"/>
    </mc:Choice>
  </mc:AlternateContent>
  <xr:revisionPtr revIDLastSave="0" documentId="8_{AE370668-DFAD-4218-9F87-BCFF28B93773}" xr6:coauthVersionLast="47" xr6:coauthVersionMax="47" xr10:uidLastSave="{00000000-0000-0000-0000-000000000000}"/>
  <bookViews>
    <workbookView xWindow="-120" yWindow="-120" windowWidth="29040" windowHeight="17790" tabRatio="398" xr2:uid="{00000000-000D-0000-FFFF-FFFF00000000}"/>
  </bookViews>
  <sheets>
    <sheet name="Brief" sheetId="1" r:id="rId1"/>
    <sheet name="Parameter" sheetId="2" r:id="rId2"/>
    <sheet name="Liste" sheetId="3" r:id="rId3"/>
    <sheet name="Beispiel" sheetId="4" state="hidden" r:id="rId4"/>
  </sheets>
  <functionGroups builtInGroupCount="19"/>
  <definedNames>
    <definedName name="adresse">Parameter!$B$11</definedName>
    <definedName name="anrede">Brief!$E$4</definedName>
    <definedName name="anzEinschreib">Brief!$F$15</definedName>
    <definedName name="AnzEinschrFormel">Liste!$AG$1</definedName>
    <definedName name="anzKinder">Brief!$F$13</definedName>
    <definedName name="AnzKinderFormel">Liste!$AE$1</definedName>
    <definedName name="AnzMitgFormel">Liste!$AF$1</definedName>
    <definedName name="anzMitgl">Brief!$F$14</definedName>
    <definedName name="AufnahmeJahr">Liste!$AD$6</definedName>
    <definedName name="bank">Parameter!$B$10</definedName>
    <definedName name="bodymsg">Brief!$H$3</definedName>
    <definedName name="ccrecipient">Brief!$I$2</definedName>
    <definedName name="CheckSumme">Liste!$AD$1</definedName>
    <definedName name="datenträger">Brief!$E$10</definedName>
    <definedName name="_xlnm.Print_Area" localSheetId="0">Brief!$A$1:$D$32</definedName>
    <definedName name="einschreibgeb">Parameter!$B$6</definedName>
    <definedName name="einschreibsumme">Brief!$F$19</definedName>
    <definedName name="Erinnerung">Brief!$G$8</definedName>
    <definedName name="ermässigt">Liste!$AD$8:$AF$8</definedName>
    <definedName name="exportfile">Liste!$AD$3</definedName>
    <definedName name="FunktionenErwMitglieder">Liste!$AD$12:$AD$17</definedName>
    <definedName name="gebührgesamt">Brief!$F$20</definedName>
    <definedName name="gitOrdner">Liste!$AD$22</definedName>
    <definedName name="GruppierenNach">Liste!$AD$19</definedName>
    <definedName name="konto">Parameter!$B$8</definedName>
    <definedName name="kopfname">Parameter!$B$7</definedName>
    <definedName name="lautend_auf">Parameter!$B$9</definedName>
    <definedName name="mailcmd">Brief!$H$2</definedName>
    <definedName name="mailpwd">Brief!$I$1</definedName>
    <definedName name="mailuser">Brief!$H$1</definedName>
    <definedName name="maxAnzahlMglBtr">Parameter!$B$3</definedName>
    <definedName name="mglbeitragsumme">Brief!$F$17</definedName>
    <definedName name="mitglbeitrag">Parameter!$B$1</definedName>
    <definedName name="mitglbeitragweitere">Parameter!$B$2</definedName>
    <definedName name="nachreg">Brief!$G$6</definedName>
    <definedName name="neuregistrierungAb">Liste!$AD$10</definedName>
    <definedName name="pfadis">Brief!$F$11</definedName>
    <definedName name="pfadisFormel">Liste!$AH$1</definedName>
    <definedName name="QRCode">Brief!$A$27</definedName>
    <definedName name="recipient">Brief!$E$3</definedName>
    <definedName name="referenz">Brief!$E$5</definedName>
    <definedName name="reg">Parameter!$B$4</definedName>
    <definedName name="regsumme">Brief!$F$18</definedName>
    <definedName name="regweitere">Parameter!$B$5</definedName>
    <definedName name="subject">Brief!$H$4</definedName>
    <definedName name="teiler">Brief!$F$16</definedName>
    <definedName name="testkonto">Brief!$J$1</definedName>
    <definedName name="testmail">Brief!$G$7</definedName>
    <definedName name="texteinschreib">Brief!$A$17</definedName>
    <definedName name="textmglb">Brief!$K$7</definedName>
    <definedName name="textreg">Brief!$K$8</definedName>
    <definedName name="vorAnzahlKinder">Brief!$F$12</definedName>
    <definedName name="www">Parameter!$B$13</definedName>
    <definedName name="zeilenindex">Brief!$E$1</definedName>
    <definedName name="zustext">Brief!$E$21</definedName>
    <definedName name="zvrzahl">Parameter!$B$12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2" i="3" l="1"/>
  <c r="AB3" i="3"/>
  <c r="AB4" i="3"/>
  <c r="AB5" i="3"/>
  <c r="AB6" i="3"/>
  <c r="AB7" i="3"/>
  <c r="AB8" i="3"/>
  <c r="AB9" i="3"/>
  <c r="AB10" i="3"/>
  <c r="AB11" i="3"/>
  <c r="AB12" i="3"/>
  <c r="AB13" i="3"/>
  <c r="AB14" i="3"/>
  <c r="AB15" i="3"/>
  <c r="AB16" i="3"/>
  <c r="AB17" i="3"/>
  <c r="AB18" i="3"/>
  <c r="AB19" i="3"/>
  <c r="AB20" i="3"/>
  <c r="AB21" i="3"/>
  <c r="AB22" i="3"/>
  <c r="AB23" i="3"/>
  <c r="AB24" i="3"/>
  <c r="AB25" i="3"/>
  <c r="AB26" i="3"/>
  <c r="AB27" i="3"/>
  <c r="AB28" i="3"/>
  <c r="AB29" i="3"/>
  <c r="AB30" i="3"/>
  <c r="AB31" i="3"/>
  <c r="AB32" i="3"/>
  <c r="AB33" i="3"/>
  <c r="AB34" i="3"/>
  <c r="AB35" i="3"/>
  <c r="AB36" i="3"/>
  <c r="AB37" i="3"/>
  <c r="AB38" i="3"/>
  <c r="AB39" i="3"/>
  <c r="AB40" i="3"/>
  <c r="AB41" i="3"/>
  <c r="AB42" i="3"/>
  <c r="AB43" i="3"/>
  <c r="AB44" i="3"/>
  <c r="AB45" i="3"/>
  <c r="AB46" i="3"/>
  <c r="AB47" i="3"/>
  <c r="AB48" i="3"/>
  <c r="AB49" i="3"/>
  <c r="AB50" i="3"/>
  <c r="AB51" i="3"/>
  <c r="AB52" i="3"/>
  <c r="AB53" i="3"/>
  <c r="AB54" i="3"/>
  <c r="AB55" i="3"/>
  <c r="AB56" i="3"/>
  <c r="AB57" i="3"/>
  <c r="AB58" i="3"/>
  <c r="AB59" i="3"/>
  <c r="AB60" i="3"/>
  <c r="AB61" i="3"/>
  <c r="AB62" i="3"/>
  <c r="AB63" i="3"/>
  <c r="AB64" i="3"/>
  <c r="AA2" i="3"/>
  <c r="AA3" i="3"/>
  <c r="AA4" i="3"/>
  <c r="AA5" i="3"/>
  <c r="AA6" i="3"/>
  <c r="AA7" i="3"/>
  <c r="AA8" i="3"/>
  <c r="AA9" i="3"/>
  <c r="AA10" i="3"/>
  <c r="AA11" i="3"/>
  <c r="AA12" i="3"/>
  <c r="AA13" i="3"/>
  <c r="AA14" i="3"/>
  <c r="AA15" i="3"/>
  <c r="AA16" i="3"/>
  <c r="AA17" i="3"/>
  <c r="AA18" i="3"/>
  <c r="AA19" i="3"/>
  <c r="AA20" i="3"/>
  <c r="AA21" i="3"/>
  <c r="AA22" i="3"/>
  <c r="AA23" i="3"/>
  <c r="AA24" i="3"/>
  <c r="AA25" i="3"/>
  <c r="AA26" i="3"/>
  <c r="AA27" i="3"/>
  <c r="AA28" i="3"/>
  <c r="AA29" i="3"/>
  <c r="AA30" i="3"/>
  <c r="AA31" i="3"/>
  <c r="AA32" i="3"/>
  <c r="AA33" i="3"/>
  <c r="AA34" i="3"/>
  <c r="AA35" i="3"/>
  <c r="AA36" i="3"/>
  <c r="AA37" i="3"/>
  <c r="AA38" i="3"/>
  <c r="AA39" i="3"/>
  <c r="AA40" i="3"/>
  <c r="AA41" i="3"/>
  <c r="AA42" i="3"/>
  <c r="AA43" i="3"/>
  <c r="AA44" i="3"/>
  <c r="AA45" i="3"/>
  <c r="AA46" i="3"/>
  <c r="AA47" i="3"/>
  <c r="AA48" i="3"/>
  <c r="AA49" i="3"/>
  <c r="AA50" i="3"/>
  <c r="AA51" i="3"/>
  <c r="AA52" i="3"/>
  <c r="AA53" i="3"/>
  <c r="AA54" i="3"/>
  <c r="AA55" i="3"/>
  <c r="AA56" i="3"/>
  <c r="AA57" i="3"/>
  <c r="AA58" i="3"/>
  <c r="AA59" i="3"/>
  <c r="AA60" i="3"/>
  <c r="AA61" i="3"/>
  <c r="AA62" i="3"/>
  <c r="AA63" i="3"/>
  <c r="AA64" i="3"/>
  <c r="Z2" i="3"/>
  <c r="Z3" i="3"/>
  <c r="Z4" i="3"/>
  <c r="Z5" i="3"/>
  <c r="Z6" i="3"/>
  <c r="Z7" i="3"/>
  <c r="Z8" i="3"/>
  <c r="Z9" i="3"/>
  <c r="Z10" i="3"/>
  <c r="Z11" i="3"/>
  <c r="Z12" i="3"/>
  <c r="Z13" i="3"/>
  <c r="Z14" i="3"/>
  <c r="Z15" i="3"/>
  <c r="Z16" i="3"/>
  <c r="Z17" i="3"/>
  <c r="Z18" i="3"/>
  <c r="Z19" i="3"/>
  <c r="Z20" i="3"/>
  <c r="Z21" i="3"/>
  <c r="Z22" i="3"/>
  <c r="Z23" i="3"/>
  <c r="Z24" i="3"/>
  <c r="Z25" i="3"/>
  <c r="Z26" i="3"/>
  <c r="Z27" i="3"/>
  <c r="Z28" i="3"/>
  <c r="Z29" i="3"/>
  <c r="Z30" i="3"/>
  <c r="Z31" i="3"/>
  <c r="Z32" i="3"/>
  <c r="Z33" i="3"/>
  <c r="Z34" i="3"/>
  <c r="Z35" i="3"/>
  <c r="Z36" i="3"/>
  <c r="Z37" i="3"/>
  <c r="Z38" i="3"/>
  <c r="Z39" i="3"/>
  <c r="Z40" i="3"/>
  <c r="Z41" i="3"/>
  <c r="Z42" i="3"/>
  <c r="Z43" i="3"/>
  <c r="Z44" i="3"/>
  <c r="Z45" i="3"/>
  <c r="Z46" i="3"/>
  <c r="Z47" i="3"/>
  <c r="Z48" i="3"/>
  <c r="Z49" i="3"/>
  <c r="Z50" i="3"/>
  <c r="Z51" i="3"/>
  <c r="Z52" i="3"/>
  <c r="Z53" i="3"/>
  <c r="Z54" i="3"/>
  <c r="Z55" i="3"/>
  <c r="Z56" i="3"/>
  <c r="Z57" i="3"/>
  <c r="Z58" i="3"/>
  <c r="Z59" i="3"/>
  <c r="Z60" i="3"/>
  <c r="Z61" i="3"/>
  <c r="Z62" i="3"/>
  <c r="Z63" i="3"/>
  <c r="Z64" i="3"/>
  <c r="Y2" i="3"/>
  <c r="Y3" i="3"/>
  <c r="Y4" i="3"/>
  <c r="Y5" i="3"/>
  <c r="Y6" i="3"/>
  <c r="Y7" i="3"/>
  <c r="Y8" i="3"/>
  <c r="Y9" i="3"/>
  <c r="Y10" i="3"/>
  <c r="Y11" i="3"/>
  <c r="Y12" i="3"/>
  <c r="Y13" i="3"/>
  <c r="Y14" i="3"/>
  <c r="Y15" i="3"/>
  <c r="Y16" i="3"/>
  <c r="Y17" i="3"/>
  <c r="Y18" i="3"/>
  <c r="Y19" i="3"/>
  <c r="Y20" i="3"/>
  <c r="Y21" i="3"/>
  <c r="Y22" i="3"/>
  <c r="Y23" i="3"/>
  <c r="Y24" i="3"/>
  <c r="Y25" i="3"/>
  <c r="Y26" i="3"/>
  <c r="Y27" i="3"/>
  <c r="Y28" i="3"/>
  <c r="Y29" i="3"/>
  <c r="Y30" i="3"/>
  <c r="Y31" i="3"/>
  <c r="Y32" i="3"/>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X2"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F11" i="1" l="1"/>
  <c r="E5" i="1" s="1"/>
  <c r="E22" i="1"/>
  <c r="A10" i="1"/>
  <c r="E23" i="1"/>
  <c r="A19" i="1" s="1"/>
  <c r="E4" i="1"/>
  <c r="E3" i="1" a="1"/>
  <c r="E3" i="1" s="1"/>
  <c r="A32" i="1"/>
  <c r="A20" i="1"/>
  <c r="A13" i="1"/>
  <c r="AD6" i="3"/>
  <c r="H4" i="1" s="1"/>
  <c r="F14" i="1" l="1"/>
  <c r="F15" i="1"/>
  <c r="F12" i="1"/>
  <c r="A15" i="1"/>
  <c r="A1" i="1" l="1"/>
  <c r="A6" i="1" l="1"/>
  <c r="A2" i="1" l="1"/>
  <c r="A24" i="1"/>
  <c r="A8" i="1" l="1"/>
  <c r="F16" i="1"/>
  <c r="A12" i="1" l="1"/>
  <c r="F13" i="1" l="1"/>
  <c r="F17" i="1" s="1"/>
  <c r="I3" i="1"/>
  <c r="A14" i="1"/>
  <c r="A21" i="1"/>
  <c r="A3" i="1"/>
  <c r="J3" i="1" l="1"/>
  <c r="H3" i="1" s="1"/>
  <c r="AD10" i="3" l="1"/>
  <c r="D32" i="1"/>
  <c r="D31" i="1"/>
  <c r="A31" i="1"/>
  <c r="A30" i="1"/>
  <c r="D30" i="1"/>
  <c r="A7" i="1" l="1"/>
  <c r="H2" i="1" s="1"/>
  <c r="A11" i="1"/>
  <c r="F19" i="1" l="1"/>
  <c r="F18" i="1" l="1"/>
  <c r="A17" i="1" s="1"/>
  <c r="E21" i="1" l="1"/>
  <c r="F20" i="1"/>
  <c r="E10" i="1" l="1"/>
  <c r="A1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roland kapl</author>
  </authors>
  <commentList>
    <comment ref="H1" authorId="0" shapeId="0" xr:uid="{B3307324-AE49-4AAE-9300-913C0A7ECFBA}">
      <text>
        <r>
          <rPr>
            <b/>
            <sz val="9"/>
            <color indexed="81"/>
            <rFont val="Segoe UI"/>
            <family val="2"/>
          </rPr>
          <t>versendender Mailuser, leer lassen für interaktive Erstellung des Mails mit Outlook</t>
        </r>
        <r>
          <rPr>
            <sz val="9"/>
            <color indexed="81"/>
            <rFont val="Segoe UI"/>
            <family val="2"/>
          </rPr>
          <t xml:space="preserve">
</t>
        </r>
      </text>
    </comment>
    <comment ref="I1" authorId="0" shapeId="0" xr:uid="{ACEFFE1F-9860-4F4E-87B8-50C0EAF0D9D2}">
      <text>
        <r>
          <rPr>
            <b/>
            <sz val="9"/>
            <color indexed="81"/>
            <rFont val="Segoe UI"/>
            <family val="2"/>
          </rPr>
          <t>mailpasswort</t>
        </r>
        <r>
          <rPr>
            <sz val="9"/>
            <color indexed="81"/>
            <rFont val="Segoe UI"/>
            <family val="2"/>
          </rPr>
          <t xml:space="preserve">
</t>
        </r>
      </text>
    </comment>
    <comment ref="J1" authorId="0" shapeId="0" xr:uid="{B1D39C96-AE4E-4D65-ADDA-2CE85C53A707}">
      <text>
        <r>
          <rPr>
            <b/>
            <sz val="9"/>
            <color indexed="81"/>
            <rFont val="Segoe UI"/>
            <family val="2"/>
          </rPr>
          <t>testmailuser</t>
        </r>
        <r>
          <rPr>
            <sz val="9"/>
            <color indexed="81"/>
            <rFont val="Segoe UI"/>
            <family val="2"/>
          </rPr>
          <t xml:space="preserve">
</t>
        </r>
      </text>
    </comment>
    <comment ref="I2" authorId="0" shapeId="0" xr:uid="{EC427341-0E86-48D4-9615-F87A19767BF1}">
      <text>
        <r>
          <rPr>
            <b/>
            <sz val="9"/>
            <color indexed="81"/>
            <rFont val="Segoe UI"/>
            <family val="2"/>
          </rPr>
          <t>CC User für Mails</t>
        </r>
      </text>
    </comment>
    <comment ref="J2" authorId="0" shapeId="0" xr:uid="{B1F6AF5A-F83F-4902-9083-95E32C02A271}">
      <text>
        <r>
          <rPr>
            <b/>
            <sz val="9"/>
            <color indexed="81"/>
            <rFont val="Segoe UI"/>
            <family val="2"/>
          </rPr>
          <t>Account zum versenden in Outlook</t>
        </r>
      </text>
    </comment>
    <comment ref="E10" authorId="0" shapeId="0" xr:uid="{00000000-0006-0000-0000-000001000000}">
      <text>
        <r>
          <rPr>
            <b/>
            <sz val="9"/>
            <color indexed="81"/>
            <rFont val="Segoe UI"/>
            <family val="2"/>
          </rPr>
          <t>Keine Umlaute in QR-Code für Banken erlaubt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roland kapl</author>
  </authors>
  <commentList>
    <comment ref="G1" authorId="0" shapeId="0" xr:uid="{BDC827C8-C054-4F28-BC77-D9B1A612AAC8}">
      <text>
        <r>
          <rPr>
            <b/>
            <sz val="9"/>
            <color indexed="81"/>
            <rFont val="Segoe UI"/>
            <family val="2"/>
          </rPr>
          <t>J: Kind ist heuer erstmalig angemeldet, daher Einschreibgebühr</t>
        </r>
      </text>
    </comment>
    <comment ref="H1" authorId="0" shapeId="0" xr:uid="{4567D621-34EE-4CE1-9385-834A75602F2A}">
      <text>
        <r>
          <rPr>
            <b/>
            <sz val="9"/>
            <color indexed="81"/>
            <rFont val="Segoe UI"/>
            <family val="2"/>
          </rPr>
          <t>E: Ehrenamtliche zahlen weder Gruppenbeitrag noch Verbandsbeitrag
M: Erwachsene Mitglieder zahlen keinen Gruppenbeitrag</t>
        </r>
        <r>
          <rPr>
            <sz val="9"/>
            <color indexed="81"/>
            <rFont val="Segoe UI"/>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<sst xmlns="http://schemas.openxmlformats.org/spreadsheetml/2006/main" count="190" uniqueCount="128">
  <si>
    <t>Mitgliedsbeitrag:</t>
  </si>
  <si>
    <t>Registrierung:</t>
  </si>
  <si>
    <t>Registrierung weitere K.:</t>
  </si>
  <si>
    <t>Einschreibgebühr:</t>
  </si>
  <si>
    <t>Pfadfinderkonto:</t>
  </si>
  <si>
    <t>lautend auf:</t>
  </si>
  <si>
    <t>Name</t>
  </si>
  <si>
    <t>Einschreib1</t>
  </si>
  <si>
    <t>Einschreib2</t>
  </si>
  <si>
    <t>Einschreib3</t>
  </si>
  <si>
    <t>Einschreib4</t>
  </si>
  <si>
    <t>Anrede</t>
  </si>
  <si>
    <t>Familie</t>
  </si>
  <si>
    <t>Herr</t>
  </si>
  <si>
    <t>Vielen Dank für die rasche Überweisung und Gut Pfad,</t>
  </si>
  <si>
    <t>Bank:</t>
  </si>
  <si>
    <t>Vorname1</t>
  </si>
  <si>
    <t>Vorname2</t>
  </si>
  <si>
    <t>Vorname3</t>
  </si>
  <si>
    <t>Vorname4</t>
  </si>
  <si>
    <t>Frau</t>
  </si>
  <si>
    <t>Ermäßigt1</t>
  </si>
  <si>
    <t>Ermäßigt2</t>
  </si>
  <si>
    <t>Ermäßigt3</t>
  </si>
  <si>
    <t>Ermäßigt4</t>
  </si>
  <si>
    <t>Mitgliedsbeitrag weitere K.:</t>
  </si>
  <si>
    <t>Anschrift:</t>
  </si>
  <si>
    <t>Bankverbindung:</t>
  </si>
  <si>
    <t>Nein</t>
  </si>
  <si>
    <t>E</t>
  </si>
  <si>
    <t>J</t>
  </si>
  <si>
    <t>Adresse:</t>
  </si>
  <si>
    <t>ZVR Zahl:</t>
  </si>
  <si>
    <t>www:</t>
  </si>
  <si>
    <t>Kopfname:</t>
  </si>
  <si>
    <t>Vorname5</t>
  </si>
  <si>
    <t>Einschreib5</t>
  </si>
  <si>
    <t>Ermäßigt5</t>
  </si>
  <si>
    <t>Vorname6</t>
  </si>
  <si>
    <t>Einschreib6</t>
  </si>
  <si>
    <t>Ermäßigt6</t>
  </si>
  <si>
    <t>C:\dev\PfadfinderSchreiben</t>
  </si>
  <si>
    <t>Muster</t>
  </si>
  <si>
    <t>Mustermann</t>
  </si>
  <si>
    <t>Musterfrau</t>
  </si>
  <si>
    <t>AT12345600000987654</t>
  </si>
  <si>
    <t>PPÖ Pfadfindergruppe Musterhausen</t>
  </si>
  <si>
    <t>Musterhausenbank</t>
  </si>
  <si>
    <t>9999 Musterhausen, Beispielplatz 1</t>
  </si>
  <si>
    <t>pfadfinder-musterhausen.at</t>
  </si>
  <si>
    <t>ER</t>
  </si>
  <si>
    <t>ERO</t>
  </si>
  <si>
    <t>KASS</t>
  </si>
  <si>
    <t>SCHR</t>
  </si>
  <si>
    <t>Neuregistrierungen ab:</t>
  </si>
  <si>
    <t>Nicht importieren wenn "Ermäßigt" auf:</t>
  </si>
  <si>
    <t>P</t>
  </si>
  <si>
    <t>PWA</t>
  </si>
  <si>
    <t>Datenträger für QR-Code:</t>
  </si>
  <si>
    <t>Adresse</t>
  </si>
  <si>
    <t>Max</t>
  </si>
  <si>
    <t>Erika</t>
  </si>
  <si>
    <t>Krethi</t>
  </si>
  <si>
    <t>Plethi</t>
  </si>
  <si>
    <t>Hinz</t>
  </si>
  <si>
    <t>Kunz</t>
  </si>
  <si>
    <t>Normalverbraucher</t>
  </si>
  <si>
    <t>Otto</t>
  </si>
  <si>
    <t>Möglich</t>
  </si>
  <si>
    <t>Pfadijahr beginnt:</t>
  </si>
  <si>
    <t>Musterstrasse 8/15, 
4711 Musterhausen</t>
  </si>
  <si>
    <t>Mustergasse 1/2, 
4711 Musterhausen</t>
  </si>
  <si>
    <t>Musterplatz 1, 
4711 Musterhausen</t>
  </si>
  <si>
    <t>Musterallee 7, 
4711 Musterhausen</t>
  </si>
  <si>
    <t>Musterhof 9, 
4711 Musterhausen</t>
  </si>
  <si>
    <t>max. Anzahl Mitglbeiträge</t>
  </si>
  <si>
    <t>Strasse/Plz</t>
  </si>
  <si>
    <t>Nachregistrierung:</t>
  </si>
  <si>
    <t>Email</t>
  </si>
  <si>
    <t>Telefon</t>
  </si>
  <si>
    <t>0999/999999999</t>
  </si>
  <si>
    <t>0111/111111111</t>
  </si>
  <si>
    <t>0222/222222222</t>
  </si>
  <si>
    <t>0333/333333333</t>
  </si>
  <si>
    <t>0444/444444444</t>
  </si>
  <si>
    <t>hinzkunz@muster.nix</t>
  </si>
  <si>
    <t>max@mustermann.nix</t>
  </si>
  <si>
    <t>erika@musterfrau.nix</t>
  </si>
  <si>
    <t>otto@normalverbraucher.nix</t>
  </si>
  <si>
    <t>krethiplethi@moeglich.nix</t>
  </si>
  <si>
    <t>Gruppenname:</t>
  </si>
  <si>
    <t>Testmail:</t>
  </si>
  <si>
    <t>pfadis:</t>
  </si>
  <si>
    <t>Anz. Kinder:</t>
  </si>
  <si>
    <t>gedeckelt:</t>
  </si>
  <si>
    <t>Anz. Mitgl.:</t>
  </si>
  <si>
    <t>Anz. Einschr</t>
  </si>
  <si>
    <t>MBeitrSum:</t>
  </si>
  <si>
    <t>RegBeitrSum:</t>
  </si>
  <si>
    <t>EinschrSum:</t>
  </si>
  <si>
    <t>Gesamt:</t>
  </si>
  <si>
    <t>TeilerNachreg:</t>
  </si>
  <si>
    <t>Gruppe Musterhausen</t>
  </si>
  <si>
    <t>Erinnerungsschreiben:</t>
  </si>
  <si>
    <t>Falls die Knöpfe nicht funktionieren, unter Datei/Informationen, Inhalt (Makros) aktivieren…</t>
  </si>
  <si>
    <t>Zahlen mit Code (in der e-Banking App scannen):</t>
  </si>
  <si>
    <t>SCHR, REG</t>
  </si>
  <si>
    <t>Gesamt</t>
  </si>
  <si>
    <t>ACHTUNG, undbedingt zurücksetzen bei Hauptregistrierung !!!</t>
  </si>
  <si>
    <t>Leiter</t>
  </si>
  <si>
    <t>=([Vorname1]&lt;&gt;"")*([Ermäßigt1]&lt;&gt;"E")*reg+([Vorname2]&lt;&gt;"")*([Ermäßigt2]&lt;&gt;"E")*regweitere+([Vorname3]&lt;&gt;"")*([Ermäßigt3]&lt;&gt;"E")*regweitere+([Vorname4]&lt;&gt;"")*([Ermäßigt4]&lt;&gt;"E")*regweitere+([Vorname5]&lt;&gt;"")*([Ermäßigt5]&lt;&gt;"E")*regweitere+([Vorname6]&lt;&gt;"")*([Ermäßigt6]&lt;&gt;"E")*regweitere+(([Vorname1]&lt;&gt;"")*([Ermäßigt1]="")*mitglbeitrag+([Vorname2]&lt;&gt;"")*([Ermäßigt2]="")*mitglbeitragweitere)/teiler+([Einschreib1]&lt;&gt;"")*([Ermäßigt1]="")*einschreibgeb+([Einschreib2]&lt;&gt;"")*([Ermäßigt2]="")*einschreibgeb+([Einschreib3]&lt;&gt;"")*([Ermäßigt3]="")*einschreibgeb+([Einschreib4]&lt;&gt;"")*([Ermäßigt4]="")*einschreibgeb+([Einschreib5]&lt;&gt;"")*([Ermäßigt5]="")*einschreibgeb+([Einschreib6]&lt;&gt;"")*([Ermäßigt6]="")*einschreibgeb</t>
  </si>
  <si>
    <t>AnzKinder</t>
  </si>
  <si>
    <t>AnzMitg</t>
  </si>
  <si>
    <t>AnzEinschr</t>
  </si>
  <si>
    <t>=([Vorname1]&lt;&gt;"")*([Ermäßigt1]="")+([Vorname2]&lt;&gt;"")*([Ermäßigt2]="")+([Vorname3]&lt;&gt;"")*([Ermäßigt3]="")+([Vorname4]&lt;&gt;"")*([Ermäßigt4]="")+([Vorname5]&lt;&gt;"")*([Ermäßigt5]="")+([Vorname6]&lt;&gt;"")*([Ermäßigt6]="")</t>
  </si>
  <si>
    <t>=([Einschreib1]&lt;&gt;"")*([Ermäßigt1]="")+([Einschreib2]&lt;&gt;"")*([Ermäßigt2]="")+([Einschreib3]&lt;&gt;"")*([Ermäßigt3]="")+([Einschreib4]&lt;&gt;"")*([Ermäßigt4]="")+([Einschreib5]&lt;&gt;"")*([Ermäßigt5]="")+([Einschreib6]&lt;&gt;"")*([Ermäßigt6]="")</t>
  </si>
  <si>
    <t>Leiter werden hartcodiert (like "AS*" bzw like "SF*") erfasst</t>
  </si>
  <si>
    <t>=([Vorname1]&lt;&gt;"")*([Ermäßigt1]&lt;&gt;"E")+([Vorname2]&lt;&gt;"")*([Ermäßigt2]&lt;&gt;"E")+([Vorname3]&lt;&gt;"")*([Ermäßigt3]&lt;&gt;"E")+([Vorname4]&lt;&gt;"")*([Ermäßigt4]&lt;&gt;"E")+([Vorname5]&lt;&gt;"")*([Ermäßigt5]&lt;&gt;"E")+([Vorname6]&lt;&gt;"")*([Ermäßigt6]&lt;&gt;"E")</t>
  </si>
  <si>
    <t>pfadis</t>
  </si>
  <si>
    <t>=WENN(([Vorname1]&lt;&gt;"")*([Ermäßigt1]&lt;&gt;"E");[Vorname1];"")&amp;WENN(([Vorname2]&lt;&gt;"")*([Ermäßigt2]&lt;&gt;"E");"+"&amp;[Vorname2];"")&amp;WENN(([Vorname3]&lt;&gt;"")*([Ermäßigt3]&lt;&gt;"E");"+"&amp;[Vorname3];"")&amp;WENN(([Vorname4]&lt;&gt;"")*([Ermäßigt4]&lt;&gt;"E");"+"&amp;[Vorname4];"")&amp;WENN(([Vorname5]&lt;&gt;"")*([Ermäßigt5]&lt;&gt;"E");"+"&amp;[Vorname5];"")&amp;WENN(([Vorname6]&lt;&gt;"")*([Ermäßigt6]&lt;&gt;"E");"+"&amp;[Vorname6];"")</t>
  </si>
  <si>
    <t>GAB-Person-Export_2023-10-27.xls</t>
  </si>
  <si>
    <t>Funktionen ehrenamtliche Mitglieder (kein Beitrag):</t>
  </si>
  <si>
    <t>(Fasmilien)gruppierung beim Export nach:</t>
  </si>
  <si>
    <t>CC Empfängeradresse</t>
  </si>
  <si>
    <t>testempfängerkonto@gmail.com</t>
  </si>
  <si>
    <t>Mitglieds- und Verbandsbeiträge werden in der Parameterdatei verwaltet:</t>
  </si>
  <si>
    <t>Senderkonto@gmail.com</t>
  </si>
  <si>
    <t>Senderkonto passwort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</si>
</sst>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family val="2"/>
      <scheme val="minor"/>
    </font>
    <font>
      <sz val="11"/>
      <color rgb="FF000000"/>
      <name val="Calibri"/>
      <family val="2"/>
    </font>
    <font>
      <b/>
      <sz val="11"/>
      <color theme="1"/>
      <name val="Calibri"/>
      <family val="2"/>
      <scheme val="minor"/>
    </font>
    <font>
      <u/>
      <sz val="11"/>
      <color theme="10"/>
      <name val="Calibri"/>
      <family val="2"/>
      <scheme val="minor"/>
    </font>
    <font>
      <b/>
      <i/>
      <sz val="16"/>
      <color theme="1"/>
      <name val="Arial"/>
      <family val="2"/>
    </font>
    <font>
      <b/>
      <sz val="11"/>
      <color rgb="FFFF0000"/>
      <name val="Calibri"/>
      <family val="2"/>
      <scheme val="minor"/>
    </font>
    <font>
      <sz val="11"/>
      <color rgb="FFFF0000"/>
      <name val="Calibri"/>
      <family val="2"/>
      <scheme val="minor"/>
    </font>
    <font>
      <b/>
      <sz val="9"/>
      <color indexed="81"/>
      <name val="Segoe UI"/>
      <family val="2"/>
    </font>
    <font>
      <sz val="8"/>
      <color theme="1"/>
      <name val="Calibri"/>
      <family val="2"/>
      <scheme val="minor"/>
    </font>
    <font>
      <b/>
      <u/>
      <sz val="11"/>
      <color theme="1"/>
      <name val="Calibri"/>
      <family val="2"/>
      <scheme val="minor"/>
    </font>
    <font>
      <sz val="9"/>
      <color indexed="81"/>
      <name val="Segoe UI"/>
      <family val="2"/>
    </font>
    <font>
      <sz val="8"/>
      <color rgb="FF000000"/>
      <name val="Arial"/>
      <family val="2"/>
    </font>
    <font>
      <u/>
      <sz val="8"/>
      <color theme="10"/>
      <name val="Arial"/>
      <family val="2"/>
    </font>
    <font>
      <sz val="8"/>
      <color rgb="FFFF0000"/>
      <name val="Calibri"/>
      <family val="2"/>
      <scheme val="minor"/>
    </font>
    <font>
      <sz val="1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7" tint="0.59999389629810485"/>
        <bgColor indexed="64"/>
      </patternFill>
    </fill>
  </fills>
  <borders count="1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indexed="64"/>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top style="thin">
        <color theme="4" tint="0.39997558519241921"/>
      </top>
      <bottom style="thin">
        <color theme="4" tint="0.39997558519241921"/>
      </bottom>
      <diagonal/>
    </border>
    <border>
      <left/>
      <right style="thin">
        <color indexed="64"/>
      </right>
      <top style="thin">
        <color theme="4" tint="0.39997558519241921"/>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3" fillId="0" borderId="0" applyNumberFormat="0" applyFill="0" applyBorder="0" applyAlignment="0" applyProtection="0"/>
  </cellStyleXfs>
  <cellXfs count="41">
    <xf numFmtId="0" fontId="0" fillId="0" borderId="0" xfId="0"/>
    <xf numFmtId="0" fontId="0" fillId="0" borderId="0" xfId="0" applyAlignment="1">
      <alignment wrapText="1"/>
    </xf>
    <xf numFmtId="2" fontId="0" fillId="0" borderId="0" xfId="0" applyNumberFormat="1"/>
    <xf numFmtId="0" fontId="0" fillId="0" borderId="0" xfId="0" quotePrefix="1"/>
    <xf numFmtId="0" fontId="4" fillId="0" borderId="0" xfId="0" applyFont="1" applyAlignment="1">
      <alignment vertical="center"/>
    </xf>
    <xf numFmtId="0" fontId="2" fillId="0" borderId="0" xfId="0" applyFont="1"/>
    <xf numFmtId="0" fontId="0" fillId="2" borderId="0" xfId="0" applyFill="1"/>
    <xf numFmtId="0" fontId="5" fillId="0" borderId="0" xfId="0" applyFont="1"/>
    <xf numFmtId="0" fontId="0" fillId="3" borderId="4" xfId="0" applyFill="1" applyBorder="1"/>
    <xf numFmtId="0" fontId="0" fillId="3"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7" xfId="0" applyFill="1" applyBorder="1"/>
    <xf numFmtId="0" fontId="0" fillId="0" borderId="4" xfId="0" applyBorder="1"/>
    <xf numFmtId="0" fontId="0" fillId="0" borderId="5" xfId="0" applyBorder="1"/>
    <xf numFmtId="0" fontId="0" fillId="0" borderId="8" xfId="0" applyBorder="1"/>
    <xf numFmtId="0" fontId="0" fillId="0" borderId="9" xfId="0" applyBorder="1"/>
    <xf numFmtId="0" fontId="0" fillId="0" borderId="7" xfId="0" applyBorder="1"/>
    <xf numFmtId="0" fontId="6" fillId="0" borderId="0" xfId="0" applyFont="1"/>
    <xf numFmtId="0" fontId="0" fillId="4" borderId="0" xfId="0" applyFill="1"/>
    <xf numFmtId="0" fontId="0" fillId="0" borderId="0" xfId="0" applyAlignment="1">
      <alignment horizontal="left"/>
    </xf>
    <xf numFmtId="0" fontId="0" fillId="3" borderId="5" xfId="0" applyFill="1" applyBorder="1" applyAlignment="1">
      <alignment wrapText="1"/>
    </xf>
    <xf numFmtId="0" fontId="9" fillId="0" borderId="0" xfId="0" applyFont="1"/>
    <xf numFmtId="1" fontId="0" fillId="0" borderId="0" xfId="0" applyNumberFormat="1"/>
    <xf numFmtId="14" fontId="0" fillId="0" borderId="0" xfId="0" applyNumberFormat="1"/>
    <xf numFmtId="0" fontId="8" fillId="0" borderId="0" xfId="0" applyFont="1" applyAlignment="1">
      <alignment wrapText="1"/>
    </xf>
    <xf numFmtId="0" fontId="0" fillId="2" borderId="13" xfId="0" applyFill="1" applyBorder="1"/>
    <xf numFmtId="0" fontId="0" fillId="2" borderId="14" xfId="0" applyFill="1" applyBorder="1" applyAlignment="1">
      <alignment wrapText="1"/>
    </xf>
    <xf numFmtId="0" fontId="11" fillId="0" borderId="0" xfId="0" applyFont="1" applyAlignment="1">
      <alignment horizontal="left"/>
    </xf>
    <xf numFmtId="0" fontId="11" fillId="0" borderId="0" xfId="0" applyFont="1" applyAlignment="1">
      <alignment horizontal="right"/>
    </xf>
    <xf numFmtId="0" fontId="12" fillId="0" borderId="0" xfId="1" applyFont="1" applyAlignment="1">
      <alignment horizontal="left"/>
    </xf>
    <xf numFmtId="0" fontId="0" fillId="0" borderId="1" xfId="0" applyBorder="1"/>
    <xf numFmtId="0" fontId="0" fillId="0" borderId="2" xfId="0" applyBorder="1"/>
    <xf numFmtId="0" fontId="0" fillId="0" borderId="3" xfId="0" applyBorder="1"/>
    <xf numFmtId="0" fontId="14" fillId="0" borderId="0" xfId="0" applyFont="1"/>
    <xf numFmtId="0" fontId="0" fillId="0" borderId="0" xfId="0" applyAlignment="1">
      <alignment horizontal="left" vertical="top" wrapText="1"/>
    </xf>
    <xf numFmtId="0" fontId="8" fillId="0" borderId="10" xfId="0" quotePrefix="1" applyFont="1" applyBorder="1" applyAlignment="1">
      <alignment horizontal="left" vertical="top" wrapText="1"/>
    </xf>
    <xf numFmtId="0" fontId="8" fillId="0" borderId="11" xfId="0" quotePrefix="1" applyFont="1" applyBorder="1" applyAlignment="1">
      <alignment horizontal="left" vertical="top" wrapText="1"/>
    </xf>
    <xf numFmtId="0" fontId="8" fillId="0" borderId="12" xfId="0" quotePrefix="1" applyFont="1" applyBorder="1" applyAlignment="1">
      <alignment horizontal="left" vertical="top" wrapText="1"/>
    </xf>
    <xf numFmtId="0" fontId="13" fillId="0" borderId="0" xfId="0" applyFont="1" applyAlignment="1">
      <alignment horizontal="center" wrapText="1"/>
    </xf>
  </cellXfs>
  <cellStyles count="2">
    <cellStyle name="Link" xfId="1" builtinId="8"/>
    <cellStyle name="Standard" xfId="0" builtinId="0"/>
  </cellStyles>
  <dxfs count="38">
    <dxf>
      <numFmt numFmtId="0" formatCode="General"/>
    </dxf>
    <dxf>
      <numFmt numFmtId="0" formatCode="General"/>
    </dxf>
    <dxf>
      <numFmt numFmtId="0" formatCode="General"/>
    </dxf>
    <dxf>
      <numFmt numFmtId="0" formatCode="General"/>
    </dxf>
    <dxf>
      <numFmt numFmtId="0" formatCode="General"/>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37"/>
      <tableStyleElement type="headerRow" dxfId="3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file:///C:\Users\rolan\Nextcloud\ElternratOrdner\Schriftf&#252;hrung\AutomatisierteSchreiben\excel_temp.png"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800100</xdr:colOff>
          <xdr:row>1</xdr:row>
          <xdr:rowOff>28575</xdr:rowOff>
        </xdr:from>
        <xdr:to>
          <xdr:col>5</xdr:col>
          <xdr:colOff>438150</xdr:colOff>
          <xdr:row>1</xdr:row>
          <xdr:rowOff>238125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142875</xdr:colOff>
          <xdr:row>1</xdr:row>
          <xdr:rowOff>47625</xdr:rowOff>
        </xdr:from>
        <xdr:to>
          <xdr:col>4</xdr:col>
          <xdr:colOff>723900</xdr:colOff>
          <xdr:row>1</xdr:row>
          <xdr:rowOff>238125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zurück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276225</xdr:rowOff>
        </xdr:from>
        <xdr:to>
          <xdr:col>5</xdr:col>
          <xdr:colOff>438150</xdr:colOff>
          <xdr:row>1</xdr:row>
          <xdr:rowOff>514350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drucken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361950</xdr:colOff>
          <xdr:row>0</xdr:row>
          <xdr:rowOff>47625</xdr:rowOff>
        </xdr:from>
        <xdr:to>
          <xdr:col>3</xdr:col>
          <xdr:colOff>904875</xdr:colOff>
          <xdr:row>1</xdr:row>
          <xdr:rowOff>190500</xdr:rowOff>
        </xdr:to>
        <xdr:sp macro="" textlink="">
          <xdr:nvSpPr>
            <xdr:cNvPr id="1030" name="Object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solidFill>
              <a:srgbClr val="FFFFFF">
                <a:alpha val="0"/>
              </a:srgbClr>
            </a:solidFill>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542925</xdr:rowOff>
        </xdr:from>
        <xdr:to>
          <xdr:col>5</xdr:col>
          <xdr:colOff>438150</xdr:colOff>
          <xdr:row>1</xdr:row>
          <xdr:rowOff>781050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PDF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800100</xdr:rowOff>
        </xdr:from>
        <xdr:to>
          <xdr:col>5</xdr:col>
          <xdr:colOff>438150</xdr:colOff>
          <xdr:row>1</xdr:row>
          <xdr:rowOff>1000125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Mail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13</xdr:row>
          <xdr:rowOff>38100</xdr:rowOff>
        </xdr:from>
        <xdr:to>
          <xdr:col>7</xdr:col>
          <xdr:colOff>2085975</xdr:colOff>
          <xdr:row>14</xdr:row>
          <xdr:rowOff>66675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Parameterdatei öffnen</a:t>
              </a:r>
            </a:p>
          </xdr:txBody>
        </xdr:sp>
        <xdr:clientData fPrintsWithSheet="0"/>
      </xdr:twoCellAnchor>
    </mc:Choice>
    <mc:Fallback/>
  </mc:AlternateContent>
  <xdr:twoCellAnchor>
    <xdr:from>
      <xdr:col>0</xdr:col>
      <xdr:colOff>0</xdr:colOff>
      <xdr:row>26</xdr:row>
      <xdr:rowOff>0</xdr:rowOff>
    </xdr:from>
    <xdr:to>
      <xdr:col>0</xdr:col>
      <xdr:colOff>1457325</xdr:colOff>
      <xdr:row>27</xdr:row>
      <xdr:rowOff>0</xdr:rowOff>
    </xdr:to>
    <xdr:pic>
      <xdr:nvPicPr>
        <xdr:cNvPr id="6" name="QRCODE_ZAHLUNG">
          <a:extLst>
            <a:ext uri="{FF2B5EF4-FFF2-40B4-BE49-F238E27FC236}">
              <a16:creationId xmlns:a16="http://schemas.microsoft.com/office/drawing/2014/main" id="{A338207A-876C-F004-2D79-691C636A4A25}"/>
            </a:ext>
          </a:extLst>
        </xdr:cNvPr>
        <xdr:cNvPicPr>
          <a:picLocks noChangeAspect="1"/>
        </xdr:cNvPicPr>
      </xdr:nvPicPr>
      <xdr:blipFill>
        <a:blip xmlns:r="http://schemas.openxmlformats.org/officeDocument/2006/relationships" r:link="rId1"/>
        <a:stretch>
          <a:fillRect/>
        </a:stretch>
      </xdr:blipFill>
      <xdr:spPr>
        <a:xfrm>
          <a:off x="0" y="8124825"/>
          <a:ext cx="1457325" cy="1457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228600</xdr:colOff>
          <xdr:row>0</xdr:row>
          <xdr:rowOff>142875</xdr:rowOff>
        </xdr:from>
        <xdr:to>
          <xdr:col>33</xdr:col>
          <xdr:colOff>409575</xdr:colOff>
          <xdr:row>1</xdr:row>
          <xdr:rowOff>161925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iGrins Exportdatei übernehmen: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19050</xdr:colOff>
          <xdr:row>20</xdr:row>
          <xdr:rowOff>0</xdr:rowOff>
        </xdr:from>
        <xdr:to>
          <xdr:col>31</xdr:col>
          <xdr:colOff>161925</xdr:colOff>
          <xdr:row>21</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Schreiben in github Ordner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e" displayName="Liste" ref="A1:AB64" headerRowDxfId="35" totalsRowDxfId="34">
  <sortState xmlns:xlrd2="http://schemas.microsoft.com/office/spreadsheetml/2017/richdata2" ref="A2:AB64">
    <sortCondition ref="B2"/>
  </sortState>
  <tableColumns count="28">
    <tableColumn id="1" xr3:uid="{00000000-0010-0000-0000-000001000000}" name="Anrede" totalsRowLabel="Familie" totalsRowDxfId="33"/>
    <tableColumn id="2" xr3:uid="{00000000-0010-0000-0000-000002000000}" name="Name" totalsRowLabel="Jackson" totalsRowDxfId="32"/>
    <tableColumn id="24" xr3:uid="{F6A27F1E-F13E-4412-96D2-EF782652BB2A}" name="Telefon" totalsRowLabel="0660 7999516" totalsRowDxfId="31"/>
    <tableColumn id="23" xr3:uid="{0DA0FD0B-AD24-4634-B406-E82086E77474}" name="Email" totalsRowLabel="reinhard.veit@gmx.at,j.jackson.at@gmail.com" totalsRowDxfId="30"/>
    <tableColumn id="21" xr3:uid="{00000000-0010-0000-0000-000015000000}" name="Adresse" totalsRowLabel="Furtgasse 6_x000a_3011 Purkersdorf" dataDxfId="29" totalsRowDxfId="28"/>
    <tableColumn id="3" xr3:uid="{00000000-0010-0000-0000-000003000000}" name="Vorname1" totalsRowLabel="Simone" totalsRowDxfId="27"/>
    <tableColumn id="4" xr3:uid="{00000000-0010-0000-0000-000004000000}" name="Einschreib1" totalsRowLabel="J" totalsRowDxfId="26"/>
    <tableColumn id="12" xr3:uid="{00000000-0010-0000-0000-00000C000000}" name="Ermäßigt1" totalsRowDxfId="25"/>
    <tableColumn id="5" xr3:uid="{00000000-0010-0000-0000-000005000000}" name="Vorname2" totalsRowDxfId="24"/>
    <tableColumn id="6" xr3:uid="{00000000-0010-0000-0000-000006000000}" name="Einschreib2" totalsRowDxfId="23"/>
    <tableColumn id="13" xr3:uid="{00000000-0010-0000-0000-00000D000000}" name="Ermäßigt2" totalsRowDxfId="22"/>
    <tableColumn id="7" xr3:uid="{00000000-0010-0000-0000-000007000000}" name="Vorname3" totalsRowDxfId="21"/>
    <tableColumn id="8" xr3:uid="{00000000-0010-0000-0000-000008000000}" name="Einschreib3" totalsRowDxfId="20"/>
    <tableColumn id="14" xr3:uid="{00000000-0010-0000-0000-00000E000000}" name="Ermäßigt3" totalsRowDxfId="19"/>
    <tableColumn id="9" xr3:uid="{00000000-0010-0000-0000-000009000000}" name="Vorname4" totalsRowDxfId="18"/>
    <tableColumn id="10" xr3:uid="{00000000-0010-0000-0000-00000A000000}" name="Einschreib4" totalsRowDxfId="17"/>
    <tableColumn id="15" xr3:uid="{00000000-0010-0000-0000-00000F000000}" name="Ermäßigt4" totalsRowDxfId="16"/>
    <tableColumn id="11" xr3:uid="{00000000-0010-0000-0000-00000B000000}" name="Vorname5" totalsRowDxfId="15"/>
    <tableColumn id="16" xr3:uid="{00000000-0010-0000-0000-000010000000}" name="Einschreib5" totalsRowDxfId="14"/>
    <tableColumn id="17" xr3:uid="{00000000-0010-0000-0000-000011000000}" name="Ermäßigt5" totalsRowDxfId="13"/>
    <tableColumn id="18" xr3:uid="{00000000-0010-0000-0000-000012000000}" name="Vorname6" totalsRowDxfId="12"/>
    <tableColumn id="19" xr3:uid="{00000000-0010-0000-0000-000013000000}" name="Einschreib6" totalsRowDxfId="11"/>
    <tableColumn id="20" xr3:uid="{00000000-0010-0000-0000-000014000000}" name="Ermäßigt6" totalsRowDxfId="10"/>
    <tableColumn id="25" xr3:uid="{8FF0A032-EB32-455F-8046-09809BC7D491}" name="Gesamt" totalsRowFunction="sum" dataDxfId="4" totalsRowDxfId="9">
      <calculatedColumnFormula>(Liste[[#This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calculatedColumnFormula>
    </tableColumn>
    <tableColumn id="22" xr3:uid="{0869AF61-5B1F-408A-954A-605F6AEC98CC}" name="AnzKinder" dataDxfId="3" totalsRowDxfId="8">
      <calculatedColumnFormula>(Liste[[#This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calculatedColumnFormula>
    </tableColumn>
    <tableColumn id="26" xr3:uid="{0E3BC703-5130-428E-9F83-84EF487010B0}" name="AnzMitg" dataDxfId="2" totalsRowDxfId="7">
      <calculatedColumnFormula>(Liste[[#This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calculatedColumnFormula>
    </tableColumn>
    <tableColumn id="27" xr3:uid="{1189B2DD-6E4D-4344-8DE7-89E206B0F430}" name="AnzEinschr" dataDxfId="1" totalsRowDxfId="6">
      <calculatedColumnFormula>(Liste[[#This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calculatedColumnFormula>
    </tableColumn>
    <tableColumn id="28" xr3:uid="{D481E693-B1EE-40EC-ADE2-78A628449D41}" name="pfadis" dataDxfId="0" totalsRowDxfId="5">
      <calculatedColumnFormula>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w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J32"/>
  <sheetViews>
    <sheetView tabSelected="1" zoomScale="85" zoomScaleNormal="85" zoomScaleSheetLayoutView="85" workbookViewId="0">
      <selection activeCell="A10" sqref="A10:D10"/>
    </sheetView>
  </sheetViews>
  <sheetFormatPr baseColWidth="10" defaultRowHeight="15" x14ac:dyDescent="0.25"/>
  <cols>
    <col min="1" max="1" width="33" customWidth="1"/>
    <col min="2" max="2" width="24.5703125" customWidth="1"/>
    <col min="3" max="3" width="22.5703125" customWidth="1"/>
    <col min="4" max="4" width="17.5703125" customWidth="1"/>
    <col min="5" max="5" width="14.5703125" customWidth="1"/>
    <col min="6" max="6" width="11.42578125" customWidth="1"/>
    <col min="7" max="7" width="14.140625" customWidth="1"/>
    <col min="8" max="8" width="57.42578125" customWidth="1"/>
  </cols>
  <sheetData>
    <row r="1" spans="1:10" ht="31.5" customHeight="1" x14ac:dyDescent="0.25">
      <c r="A1" s="4" t="str">
        <f>kopfname</f>
        <v>Gruppe Musterhausen</v>
      </c>
      <c r="B1" s="2"/>
      <c r="E1">
        <v>1</v>
      </c>
      <c r="F1" s="40" t="s">
        <v>104</v>
      </c>
      <c r="G1" s="40"/>
      <c r="H1" s="6" t="s">
        <v>126</v>
      </c>
      <c r="I1" s="6" t="s">
        <v>127</v>
      </c>
      <c r="J1" s="6" t="s">
        <v>124</v>
      </c>
    </row>
    <row r="2" spans="1:10" ht="80.25" customHeight="1" x14ac:dyDescent="0.25">
      <c r="A2" s="21" t="str">
        <f>IF(INDEX(Liste[Anrede],zeilenindex)="Familie","Familie "&amp;INDEX(Liste[Name],zeilenindex),INDEX(Liste[Anrede],zeilenindex)&amp;" "&amp;INDEX(Liste[Name],zeilenindex)&amp;" "&amp;INDEX(Liste[Vorname1],zeilenindex))</f>
        <v>Familie Muster</v>
      </c>
      <c r="B2" s="2"/>
      <c r="F2" s="7"/>
      <c r="H2" s="26" t="str">
        <f>"mailsend-go.exe -smtp mail.ipax.at -port 587 -log logfile.txt auth -user "&amp;mailuser&amp;" -pass "&amp;mailpwd&amp;" -f "&amp;mailuser&amp;" -to "&amp;recipient&amp;" -cc "&amp;ccrecipient&amp;" -sub """&amp;subject&amp;""" body -msg """&amp;bodymsg&amp;""" attach -file Mitgliedsbeitragsbrief"&amp;zeilenindex&amp;".pdf -mime-type pdf"</f>
        <v>mailsend-go.exe -smtp mail.ipax.at -port 587 -log logfile.txt auth -user Senderkonto@gmail.com -pass Senderkonto passwort -f Senderkonto@gmail.com -to hinzkunz@muster.nix -cc CC Empfängeradresse -sub "Pfadfinder Gruppe Musterhausen, Mitgliedsbeitrag 2023/24" body -msg "Liebe Familie Muster,
anbei der Mitgliedsbeitragsbrief für Hinz+Kunz.
Liebe Grüße,
Eure Gruppenleiter und Mitglieder des Elternrats." attach -file Mitgliedsbeitragsbrief1.pdf -mime-type pdf</v>
      </c>
      <c r="I2" s="6" t="s">
        <v>123</v>
      </c>
    </row>
    <row r="3" spans="1:10" ht="29.25" customHeight="1" x14ac:dyDescent="0.25">
      <c r="A3" s="1" t="str">
        <f>INDEX(Liste[Adresse],zeilenindex)</f>
        <v>Musterstrasse 8/15, 
4711 Musterhausen</v>
      </c>
      <c r="B3" s="2"/>
      <c r="E3" t="str" cm="1">
        <f t="array" ref="E3">IF(mailuser="",SUBSTITUTE(IF(testmail="Ja",testkonto,INDEX(Liste[Email],zeilenindex)),",",";"),IF(testmail="Ja",testkonto,INDEX(Liste[Email],zeilenindex)))</f>
        <v>hinzkunz@muster.nix</v>
      </c>
      <c r="H3" s="1" t="str">
        <f>anrede&amp;","&amp;CHAR(10)&amp;IF(Erinnerung="Nein",J3,I3)&amp;CHAR(10)&amp;"Liebe Grüße,"&amp;CHAR(10)&amp;"Eure Gruppenleiter und Mitglieder des Elternrats."</f>
        <v>Liebe Familie Muster,
anbei der Mitgliedsbeitragsbrief für Hinz+Kunz.
Liebe Grüße,
Eure Gruppenleiter und Mitglieder des Elternrats.</v>
      </c>
      <c r="I3" t="str">
        <f>"wir vermissen "&amp;IF(INDEX(Liste[Anrede],zeilenindex)="Familie","Euren","Deinen")&amp;" Mitgliedsbeitrag, eventuell "&amp;IF(INDEX(Liste[Anrede],zeilenindex)="Familie","habt Ihr","hast Du")&amp;" unseren Brief nicht bekommen oder vergessen einzuzahlen."&amp;CHAR(10)&amp;"Der Verein finanziert die Ausgaben für die Pfadfinder zum Großteil über die Mitgliedsbeiträge, daher ist eine vollständige Einzahlung aller Beiträge sehr wichtig."&amp;CHAR(10)&amp;"Nach unseren Satzungen ist außerdem keine Registrierung beim Landesverband vorgesehen (somit keine Versicherung, keine Teilnahme an div. Aktivitäten z.b. Lager möglich!), wenn der Mitgliedsbeitrag nicht einbezahlt wird."&amp;CHAR(10)&amp;"Darüber hinaus wird die Mitgliedschaft am Ende des Pfadijahres beendet. Beiliegend nochmal der Mitgliedsbeitragsbrief für "&amp;IF(INDEX(Liste[Anrede],zeilenindex)="Familie",pfadis,"Dich")&amp;"."</f>
        <v>wir vermissen Euren Mitgliedsbeitrag, eventuell habt Ihr unseren Brief nicht bekommen oder vergessen einzuzahlen.
Der Verein finanziert die Ausgaben für die Pfadfinder zum Großteil über die Mitgliedsbeiträge, daher ist eine vollständige Einzahlung aller Beiträge sehr wichtig.
Nach unseren Satzungen ist außerdem keine Registrierung beim Landesverband vorgesehen (somit keine Versicherung, keine Teilnahme an div. Aktivitäten z.b. Lager möglich!), wenn der Mitgliedsbeitrag nicht einbezahlt wird.
Darüber hinaus wird die Mitgliedschaft am Ende des Pfadijahres beendet. Beiliegend nochmal der Mitgliedsbeitragsbrief für Hinz+Kunz.</v>
      </c>
      <c r="J3" t="str">
        <f>"anbei der Mitgliedsbeitragsbrief für "&amp;IF(INDEX(Liste[Anrede],zeilenindex)="Familie",pfadis,"Dich")&amp;"."</f>
        <v>anbei der Mitgliedsbeitragsbrief für Hinz+Kunz.</v>
      </c>
    </row>
    <row r="4" spans="1:10" x14ac:dyDescent="0.25">
      <c r="B4" s="2"/>
      <c r="E4" t="str">
        <f>"Liebe"&amp;IF(INDEX(Liste[Anrede],zeilenindex)="Herr","r "&amp;INDEX(Liste[Vorname1],zeilenindex),IF(INDEX(Liste[Anrede],zeilenindex)="Frau"," "&amp;INDEX(Liste[Vorname1],zeilenindex)," "&amp;INDEX(Liste[Anrede],zeilenindex)&amp;" "&amp;INDEX(Liste[Name],zeilenindex)))</f>
        <v>Liebe Familie Muster</v>
      </c>
      <c r="H4" s="35" t="str">
        <f>"Pfadfinder "&amp;kopfname&amp;", Mitgliedsbeitrag "&amp;AufnahmeJahr&amp;"/"&amp;RIGHT(AufnahmeJahr+1,2)</f>
        <v>Pfadfinder Gruppe Musterhausen, Mitgliedsbeitrag 2023/24</v>
      </c>
    </row>
    <row r="5" spans="1:10" x14ac:dyDescent="0.25">
      <c r="B5" s="2"/>
      <c r="E5" t="str">
        <f>INDEX(Liste[Name],zeilenindex)&amp;pfadis</f>
        <v>MusterHinz+Kunz</v>
      </c>
    </row>
    <row r="6" spans="1:10" x14ac:dyDescent="0.25">
      <c r="A6" s="5" t="str">
        <f>"Pfadfinder "&amp;kopfname&amp;", "&amp;adresse</f>
        <v>Pfadfinder Gruppe Musterhausen, 9999 Musterhausen, Beispielplatz 1</v>
      </c>
      <c r="B6" s="2"/>
      <c r="E6" t="s">
        <v>77</v>
      </c>
      <c r="G6" s="27" t="s">
        <v>28</v>
      </c>
      <c r="H6" s="7" t="s">
        <v>108</v>
      </c>
    </row>
    <row r="7" spans="1:10" x14ac:dyDescent="0.25">
      <c r="A7" s="5" t="str">
        <f>"Mitgliedsbeitrag "&amp;AufnahmeJahr&amp;"/"&amp;RIGHT(AufnahmeJahr+1,2)</f>
        <v>Mitgliedsbeitrag 2023/24</v>
      </c>
      <c r="B7" s="2"/>
      <c r="E7" t="s">
        <v>91</v>
      </c>
      <c r="G7" s="28" t="s">
        <v>28</v>
      </c>
    </row>
    <row r="8" spans="1:10" ht="33" customHeight="1" x14ac:dyDescent="0.25">
      <c r="A8" t="str">
        <f>anrede&amp;"!"</f>
        <v>Liebe Familie Muster!</v>
      </c>
      <c r="B8" s="2"/>
      <c r="E8" t="s">
        <v>103</v>
      </c>
      <c r="G8" s="27" t="s">
        <v>28</v>
      </c>
    </row>
    <row r="9" spans="1:10" x14ac:dyDescent="0.25">
      <c r="E9" t="s">
        <v>58</v>
      </c>
    </row>
    <row r="10" spans="1:10" ht="149.25" customHeight="1" x14ac:dyDescent="0.25">
      <c r="A10" s="36" t="str">
        <f>"Die Pfadfindergruppe "&amp;kopfname&amp;" ist für ihre Gruppenaktivitäten auf die finanzielle Unterstützung durch "&amp;IF(INDEX(Liste[Anrede],zeilenindex)="Familie","Euren","Deinen")&amp;" Mitgliedsbeitrag angewiesen. Der Mitgliedsbeitrag besteht aus einem Verbandsbeitrag (Registrierbeitrag, dieser wurde 2023 um 1€ angehoben), den wir an den Landesverband der niederösterreichischen"&amp;" Pfadfinder und Pfadfinderinnen abführen und der auch eine Haftpflicht- und Unfallversicherung beinhaltet, sowie dem vom Elternrat festgesetzten Gruppenbeitrag (nach wie vor gleich)."&amp;"
Die Beiträge für Familien mit mehreren Mitgliedern (Kinder/Erwachsene) sind ab dem zweiten Mitglied halbiert, ab dem dritten Kind wird kein Gruppenbeitrag mehr "&amp;"eingehoben, für erwachsene Mitglieder wird grundsätzlich nur der  Verbandsbeitrag eingehoben."&amp;"
Es ergeben sich somit folgende Mitgliedsbeiträge:"</f>
        <v>Die Pfadfindergruppe Gruppe Musterhausen ist für ihre Gruppenaktivitäten auf die finanzielle Unterstützung durch Euren Mitgliedsbeitrag angewiesen. Der Mitgliedsbeitrag besteht aus einem Verbandsbeitrag (Registrierbeitrag, dieser wurde 2023 um 1€ angehoben), den wir an den Landesverband der niederösterreichischen Pfadfinder und Pfadfinderinnen abführen und der auch eine Haftpflicht- und Unfallversicherung beinhaltet, sowie dem vom Elternrat festgesetzten Gruppenbeitrag (nach wie vor gleich).
Die Beiträge für Familien mit mehreren Mitgliedern (Kinder/Erwachsene) sind ab dem zweiten Mitglied halbiert, ab dem dritten Kind wird kein Gruppenbeitrag mehr eingehoben, für erwachsene Mitglieder wird grundsätzlich nur der  Verbandsbeitrag eingehoben.
Es ergeben sich somit folgende Mitgliedsbeiträge:</v>
      </c>
      <c r="B10" s="36"/>
      <c r="C10" s="36"/>
      <c r="D10" s="36"/>
      <c r="E10" s="37" t="str">
        <f>SUBSTITUTE(SUBSTITUTE(SUBSTITUTE(SUBSTITUTE(SUBSTITUTE(SUBSTITUTE(SUBSTITUTE("BCD"&amp;CHAR(10)&amp;"002"&amp;CHAR(10)&amp;"1"&amp;CHAR(10)&amp;"SCT"&amp;CHAR(10)&amp;CHAR(10)&amp;lautend_auf&amp;CHAR(10)&amp;konto&amp;CHAR(10)&amp;"EUR"&amp;SUBSTITUTE(gebührgesamt,",",".")&amp;CHAR(10)&amp;CHAR(10)&amp;LEFT(referenz,31)&amp;RIGHT(AufnahmeJahr,2)&amp;RIGHT(AufnahmeJahr,2)+1&amp;CHAR(10)&amp;CHAR(10)&amp;zustext,"ü","ue"),"ö","oe"),"ä","ae"),"Ü","Ue"),"Ö","Oe"),"Ä","Ae"),"ß","ss")</f>
        <v>BCD
002
1
SCT
PPOe Pfadfindergruppe Musterhausen
AT12345600000987654
EUR199.5
MusterHinz+Kunz2324
Verband: 44,5;Gruppe:105;Einschreib:50</v>
      </c>
      <c r="F10" s="38"/>
      <c r="G10" s="39"/>
    </row>
    <row r="11" spans="1:10" x14ac:dyDescent="0.25">
      <c r="A11" t="str">
        <f>"für das 1. Mitglied: € "&amp;TEXT(mitglbeitrag+reg,"0,00")&amp;" (Verbandsbeitrag: "&amp;TEXT(reg,"0,00")&amp;"; Gruppenbeitrag: "&amp;TEXT(mitglbeitrag,"0,00")&amp;")"</f>
        <v>für das 1. Mitglied: € 98,00 (Verbandsbeitrag: 28,00; Gruppenbeitrag: 70,00)</v>
      </c>
      <c r="E11" t="s">
        <v>92</v>
      </c>
      <c r="F11" t="str">
        <f>INDEX(Liste[pfadis],zeilenindex)</f>
        <v>Hinz+Kunz</v>
      </c>
    </row>
    <row r="12" spans="1:10" x14ac:dyDescent="0.25">
      <c r="A12" t="str">
        <f>"für das 2. Mitglied: € "&amp;TEXT(mitglbeitragweitere+regweitere,"0,00")&amp;" (Verbandsbeitrag: "&amp;TEXT(regweitere,"0,00")&amp;"; Gruppenbeitrag: "&amp;TEXT(mitglbeitragweitere,"0,00")&amp;")"</f>
        <v>für das 2. Mitglied: € 51,50 (Verbandsbeitrag: 16,50; Gruppenbeitrag: 35,00)</v>
      </c>
      <c r="E12" t="s">
        <v>93</v>
      </c>
      <c r="F12">
        <f>INDEX(Liste[AnzKinder],zeilenindex)</f>
        <v>2</v>
      </c>
    </row>
    <row r="13" spans="1:10" x14ac:dyDescent="0.25">
      <c r="A13" t="str">
        <f>"für das 3. Mitglied und alle weiteren: nur mehr der Verbandsbeitrag: € "&amp;TEXT(regweitere,"0,00")</f>
        <v>für das 3. Mitglied und alle weiteren: nur mehr der Verbandsbeitrag: € 16,50</v>
      </c>
      <c r="E13" t="s">
        <v>94</v>
      </c>
      <c r="F13">
        <f>MIN(vorAnzahlKinder,maxAnzahlMglBtr)</f>
        <v>2</v>
      </c>
      <c r="H13" t="s">
        <v>125</v>
      </c>
    </row>
    <row r="14" spans="1:10" x14ac:dyDescent="0.25">
      <c r="A14" t="str">
        <f>IF(anzEinschreib&gt;0,"Zum Eintritt wird für jedes Kind auch eine einmalige Einschreibgebühr von € "&amp;TEXT(einschreibgeb,"0,00")&amp;" (Halstuch, etc.) eingehoben.","")</f>
        <v>Zum Eintritt wird für jedes Kind auch eine einmalige Einschreibgebühr von € 25,00 (Halstuch, etc.) eingehoben.</v>
      </c>
      <c r="E14" t="s">
        <v>95</v>
      </c>
      <c r="F14">
        <f>INDEX(Liste[AnzMitg],zeilenindex)</f>
        <v>2</v>
      </c>
    </row>
    <row r="15" spans="1:10" x14ac:dyDescent="0.25">
      <c r="A15" t="str">
        <f>IF(nachreg="Ja","Für Nachregistrierungen (ab Sommersemester) wird der Gruppenbeitrag halbiert.","")</f>
        <v/>
      </c>
      <c r="E15" t="s">
        <v>96</v>
      </c>
      <c r="F15">
        <f>INDEX(Liste[AnzEinschr],zeilenindex)</f>
        <v>2</v>
      </c>
    </row>
    <row r="16" spans="1:10" x14ac:dyDescent="0.25">
      <c r="A16" s="23" t="str">
        <f>"Der gesamte zu zahlende Betrag für "&amp;IF(INDEX(Liste[Anrede],zeilenindex)="Familie",pfadis,"Dich")&amp;" ist somit: € "&amp;TEXT(gebührgesamt,"0,00")</f>
        <v>Der gesamte zu zahlende Betrag für Hinz+Kunz ist somit: € 199,50</v>
      </c>
      <c r="E16" t="s">
        <v>101</v>
      </c>
      <c r="F16">
        <f>IF(nachreg="Ja",2,1)</f>
        <v>1</v>
      </c>
    </row>
    <row r="17" spans="1:6" x14ac:dyDescent="0.25">
      <c r="A17" t="str">
        <f>"(Verbandsbeitr"&amp;IF(anzMitgl&gt;1,"äge ","ag ")&amp;TEXT(regsumme,"0,00")&amp;"; Gruppenbeitr"&amp;IF(anzMitgl&gt;1,"äge ","ag ")&amp;TEXT(mglbeitragsumme,"0,00")&amp;IF(anzEinschreib&gt;0,"; Einschreibgeb"&amp;IF(anzEinschreib&gt;1,"ühren ","ühr ")&amp;TEXT(einschreibsumme,"0,00"),"")&amp;")"</f>
        <v>(Verbandsbeiträge 44,50; Gruppenbeiträge 105,00; Einschreibgebühren 50,00)</v>
      </c>
      <c r="E17" t="s">
        <v>97</v>
      </c>
      <c r="F17">
        <f>IF(anzKinder&gt;0,mitglbeitrag+mitglbeitragweitere*(anzKinder-1),0)/teiler</f>
        <v>105</v>
      </c>
    </row>
    <row r="18" spans="1:6" x14ac:dyDescent="0.25">
      <c r="E18" t="s">
        <v>98</v>
      </c>
      <c r="F18">
        <f>IF(anzMitgl&gt;0,reg+regweitere*(anzMitgl-1),0)</f>
        <v>44.5</v>
      </c>
    </row>
    <row r="19" spans="1:6" x14ac:dyDescent="0.25">
      <c r="A19" t="str">
        <f>"Bitte obigen Betrag "&amp;IF(nachreg="Nein",E22,E23)</f>
        <v>Bitte obigen Betrag bis spätestens 15. November (zur Einhaltung der Registrierungsfrist beim Landesverband!)</v>
      </c>
      <c r="E19" t="s">
        <v>99</v>
      </c>
      <c r="F19">
        <f>einschreibgeb*anzEinschreib</f>
        <v>50</v>
      </c>
    </row>
    <row r="20" spans="1:6" x14ac:dyDescent="0.25">
      <c r="A20" t="str">
        <f>"auf das Konto "&amp;konto&amp;" bei der "&amp;bank&amp;", lautend auf """&amp;lautend_auf&amp;""""</f>
        <v>auf das Konto AT12345600000987654 bei der Musterhausenbank, lautend auf "PPÖ Pfadfindergruppe Musterhausen"</v>
      </c>
      <c r="E20" t="s">
        <v>100</v>
      </c>
      <c r="F20">
        <f>mglbeitragsumme+regsumme+einschreibsumme</f>
        <v>199.5</v>
      </c>
    </row>
    <row r="21" spans="1:6" x14ac:dyDescent="0.25">
      <c r="A21" t="str">
        <f>"überweisen. Als Verwendungszweck bitte "&amp;referenz&amp;RIGHT(AufnahmeJahr,2)&amp;"/"&amp;RIGHT(AufnahmeJahr,2)+1&amp;" angeben."</f>
        <v>überweisen. Als Verwendungszweck bitte MusterHinz+Kunz23/24 angeben.</v>
      </c>
      <c r="E21" s="3" t="str">
        <f>"Verband: "&amp;regsumme&amp;";Gruppe:"&amp;mglbeitragsumme&amp;IF(einschreibsumme&gt;0,";Einschreib:"&amp;einschreibsumme,"")</f>
        <v>Verband: 44,5;Gruppe:105;Einschreib:50</v>
      </c>
    </row>
    <row r="22" spans="1:6" x14ac:dyDescent="0.25">
      <c r="E22" t="str">
        <f>"bis spätestens "&amp;IF(Erinnerung="Ja","25. ","15. ")&amp;"November (zur Einhaltung der Registrierungsfrist beim Landesverband!)"</f>
        <v>bis spätestens 15. November (zur Einhaltung der Registrierungsfrist beim Landesverband!)</v>
      </c>
    </row>
    <row r="23" spans="1:6" x14ac:dyDescent="0.25">
      <c r="A23" t="s">
        <v>14</v>
      </c>
      <c r="E23" t="str">
        <f ca="1">"bis spätestens "&amp;TEXT(WORKDAY(TODAY(),10),"TTTT, TT.MM.JJJJ")</f>
        <v>bis spätestens Freitag, 10.11.2023</v>
      </c>
    </row>
    <row r="24" spans="1:6" x14ac:dyDescent="0.25">
      <c r="A24" t="str">
        <f>IF(INDEX(Liste[Anrede],zeilenindex)="Familie","Eure ","Deine ")&amp;"Gruppenleiter und Mitglieder des Elternrats"</f>
        <v>Eure Gruppenleiter und Mitglieder des Elternrats</v>
      </c>
    </row>
    <row r="25" spans="1:6" ht="24" customHeight="1" x14ac:dyDescent="0.25">
      <c r="A25" t="s">
        <v>105</v>
      </c>
    </row>
    <row r="26" spans="1:6" ht="7.5" customHeight="1" x14ac:dyDescent="0.25"/>
    <row r="27" spans="1:6" ht="114.75" customHeight="1" x14ac:dyDescent="0.25"/>
    <row r="28" spans="1:6" ht="19.5" customHeight="1" x14ac:dyDescent="0.25"/>
    <row r="29" spans="1:6" ht="13.5" customHeight="1" x14ac:dyDescent="0.25">
      <c r="A29" s="29" t="s">
        <v>26</v>
      </c>
      <c r="D29" s="30" t="s">
        <v>27</v>
      </c>
    </row>
    <row r="30" spans="1:6" ht="13.5" customHeight="1" x14ac:dyDescent="0.25">
      <c r="A30" s="29" t="str">
        <f>adresse</f>
        <v>9999 Musterhausen, Beispielplatz 1</v>
      </c>
      <c r="D30" s="30" t="str">
        <f>bank</f>
        <v>Musterhausenbank</v>
      </c>
    </row>
    <row r="31" spans="1:6" ht="13.5" customHeight="1" x14ac:dyDescent="0.25">
      <c r="A31" s="29" t="str">
        <f>"ZVR-Zahl: "&amp;zvrzahl</f>
        <v>ZVR-Zahl: 123456789</v>
      </c>
      <c r="D31" s="30" t="str">
        <f>konto</f>
        <v>AT12345600000987654</v>
      </c>
    </row>
    <row r="32" spans="1:6" ht="13.5" customHeight="1" x14ac:dyDescent="0.25">
      <c r="A32" s="31" t="str">
        <f>HYPERLINK(www,www)</f>
        <v>pfadfinder-musterhausen.at</v>
      </c>
      <c r="C32" s="21"/>
      <c r="D32" s="30" t="str">
        <f>"ltd. auf "&amp;lautend_auf</f>
        <v>ltd. auf PPÖ Pfadfindergruppe Musterhausen</v>
      </c>
    </row>
  </sheetData>
  <dataConsolidate/>
  <mergeCells count="3">
    <mergeCell ref="A10:D10"/>
    <mergeCell ref="E10:G10"/>
    <mergeCell ref="F1:G1"/>
  </mergeCells>
  <dataValidations disablePrompts="1" count="2">
    <dataValidation type="list" allowBlank="1" showInputMessage="1" showErrorMessage="1" sqref="G7:G8" xr:uid="{00000000-0002-0000-0000-000000000000}">
      <formula1>"Ja,Nein"</formula1>
    </dataValidation>
    <dataValidation type="list" allowBlank="1" showInputMessage="1" showErrorMessage="1" sqref="G6" xr:uid="{7BBFD5EE-E8F7-4111-B20D-1D2DE32AAF99}">
      <formula1>"Ja,Nein,N/A"</formula1>
    </dataValidation>
  </dataValidations>
  <pageMargins left="0.7" right="0.7" top="0.78740157499999996" bottom="0.78740157499999996" header="0.3" footer="0.3"/>
  <pageSetup paperSize="9" scale="89" orientation="portrait" r:id="rId1"/>
  <drawing r:id="rId2"/>
  <legacyDrawing r:id="rId3"/>
  <oleObjects>
    <mc:AlternateContent xmlns:mc="http://schemas.openxmlformats.org/markup-compatibility/2006">
      <mc:Choice Requires="x14">
        <oleObject progId="Word.Picture.8" shapeId="1030" r:id="rId4">
          <objectPr defaultSize="0" autoPict="0" r:id="rId5">
            <anchor moveWithCells="1" sizeWithCells="1">
              <from>
                <xdr:col>2</xdr:col>
                <xdr:colOff>361950</xdr:colOff>
                <xdr:row>0</xdr:row>
                <xdr:rowOff>47625</xdr:rowOff>
              </from>
              <to>
                <xdr:col>3</xdr:col>
                <xdr:colOff>904875</xdr:colOff>
                <xdr:row>1</xdr:row>
                <xdr:rowOff>190500</xdr:rowOff>
              </to>
            </anchor>
          </objectPr>
        </oleObject>
      </mc:Choice>
      <mc:Fallback>
        <oleObject progId="Word.Picture.8" shapeId="1030" r:id="rId4"/>
      </mc:Fallback>
    </mc:AlternateContent>
  </oleObjects>
  <mc:AlternateContent xmlns:mc="http://schemas.openxmlformats.org/markup-compatibility/2006">
    <mc:Choice Requires="x14">
      <controls>
        <mc:AlternateContent xmlns:mc="http://schemas.openxmlformats.org/markup-compatibility/2006">
          <mc:Choice Requires="x14">
            <control shapeId="1026" r:id="rId6" name="Button 2">
              <controlPr defaultSize="0" print="0" autoFill="0" autoPict="0" macro="[0]!vor">
                <anchor moveWithCells="1" sizeWithCells="1">
                  <from>
                    <xdr:col>4</xdr:col>
                    <xdr:colOff>800100</xdr:colOff>
                    <xdr:row>1</xdr:row>
                    <xdr:rowOff>28575</xdr:rowOff>
                  </from>
                  <to>
                    <xdr:col>5</xdr:col>
                    <xdr:colOff>438150</xdr:colOff>
                    <xdr:row>1</xdr:row>
                    <xdr:rowOff>238125</xdr:rowOff>
                  </to>
                </anchor>
              </controlPr>
            </control>
          </mc:Choice>
        </mc:AlternateContent>
        <mc:AlternateContent xmlns:mc="http://schemas.openxmlformats.org/markup-compatibility/2006">
          <mc:Choice Requires="x14">
            <control shapeId="1027" r:id="rId7" name="Button 3">
              <controlPr defaultSize="0" print="0" autoFill="0" autoPict="0" macro="[0]!zurück">
                <anchor moveWithCells="1" sizeWithCells="1">
                  <from>
                    <xdr:col>4</xdr:col>
                    <xdr:colOff>142875</xdr:colOff>
                    <xdr:row>1</xdr:row>
                    <xdr:rowOff>47625</xdr:rowOff>
                  </from>
                  <to>
                    <xdr:col>4</xdr:col>
                    <xdr:colOff>723900</xdr:colOff>
                    <xdr:row>1</xdr:row>
                    <xdr:rowOff>238125</xdr:rowOff>
                  </to>
                </anchor>
              </controlPr>
            </control>
          </mc:Choice>
        </mc:AlternateContent>
        <mc:AlternateContent xmlns:mc="http://schemas.openxmlformats.org/markup-compatibility/2006">
          <mc:Choice Requires="x14">
            <control shapeId="1028" r:id="rId8" name="Button 4">
              <controlPr defaultSize="0" print="0" autoFill="0" autoPict="0" macro="[0]!druckUndVor">
                <anchor moveWithCells="1" sizeWithCells="1">
                  <from>
                    <xdr:col>4</xdr:col>
                    <xdr:colOff>133350</xdr:colOff>
                    <xdr:row>1</xdr:row>
                    <xdr:rowOff>276225</xdr:rowOff>
                  </from>
                  <to>
                    <xdr:col>5</xdr:col>
                    <xdr:colOff>438150</xdr:colOff>
                    <xdr:row>1</xdr:row>
                    <xdr:rowOff>514350</xdr:rowOff>
                  </to>
                </anchor>
              </controlPr>
            </control>
          </mc:Choice>
        </mc:AlternateContent>
        <mc:AlternateContent xmlns:mc="http://schemas.openxmlformats.org/markup-compatibility/2006">
          <mc:Choice Requires="x14">
            <control shapeId="1032" r:id="rId9" name="Button 8">
              <controlPr defaultSize="0" print="0" autoFill="0" autoPict="0" macro="[0]!PDFundVor">
                <anchor moveWithCells="1" sizeWithCells="1">
                  <from>
                    <xdr:col>4</xdr:col>
                    <xdr:colOff>133350</xdr:colOff>
                    <xdr:row>1</xdr:row>
                    <xdr:rowOff>542925</xdr:rowOff>
                  </from>
                  <to>
                    <xdr:col>5</xdr:col>
                    <xdr:colOff>438150</xdr:colOff>
                    <xdr:row>1</xdr:row>
                    <xdr:rowOff>781050</xdr:rowOff>
                  </to>
                </anchor>
              </controlPr>
            </control>
          </mc:Choice>
        </mc:AlternateContent>
        <mc:AlternateContent xmlns:mc="http://schemas.openxmlformats.org/markup-compatibility/2006">
          <mc:Choice Requires="x14">
            <control shapeId="1033" r:id="rId10" name="Button 9">
              <controlPr defaultSize="0" print="0" autoFill="0" autoPict="0" macro="[0]!MailUndVor">
                <anchor moveWithCells="1" sizeWithCells="1">
                  <from>
                    <xdr:col>4</xdr:col>
                    <xdr:colOff>133350</xdr:colOff>
                    <xdr:row>1</xdr:row>
                    <xdr:rowOff>800100</xdr:rowOff>
                  </from>
                  <to>
                    <xdr:col>5</xdr:col>
                    <xdr:colOff>438150</xdr:colOff>
                    <xdr:row>1</xdr:row>
                    <xdr:rowOff>1000125</xdr:rowOff>
                  </to>
                </anchor>
              </controlPr>
            </control>
          </mc:Choice>
        </mc:AlternateContent>
        <mc:AlternateContent xmlns:mc="http://schemas.openxmlformats.org/markup-compatibility/2006">
          <mc:Choice Requires="x14">
            <control shapeId="1043" r:id="rId11" name="Button 19">
              <controlPr defaultSize="0" print="0" autoFill="0" autoPict="0" macro="[0]!parameterDateiÖffnen">
                <anchor moveWithCells="1" sizeWithCells="1">
                  <from>
                    <xdr:col>7</xdr:col>
                    <xdr:colOff>28575</xdr:colOff>
                    <xdr:row>13</xdr:row>
                    <xdr:rowOff>38100</xdr:rowOff>
                  </from>
                  <to>
                    <xdr:col>7</xdr:col>
                    <xdr:colOff>2085975</xdr:colOff>
                    <xdr:row>14</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D13"/>
  <sheetViews>
    <sheetView workbookViewId="0">
      <selection activeCell="B1" sqref="B1:B1048576"/>
    </sheetView>
  </sheetViews>
  <sheetFormatPr baseColWidth="10" defaultRowHeight="15" x14ac:dyDescent="0.25"/>
  <cols>
    <col min="1" max="1" width="26" bestFit="1" customWidth="1"/>
    <col min="3" max="3" width="13.7109375" customWidth="1"/>
  </cols>
  <sheetData>
    <row r="1" spans="1:4" x14ac:dyDescent="0.25">
      <c r="A1" t="s">
        <v>0</v>
      </c>
      <c r="B1" s="2">
        <v>70</v>
      </c>
    </row>
    <row r="2" spans="1:4" x14ac:dyDescent="0.25">
      <c r="A2" t="s">
        <v>25</v>
      </c>
      <c r="B2" s="2">
        <v>35</v>
      </c>
    </row>
    <row r="3" spans="1:4" x14ac:dyDescent="0.25">
      <c r="A3" t="s">
        <v>75</v>
      </c>
      <c r="B3" s="24">
        <v>2</v>
      </c>
    </row>
    <row r="4" spans="1:4" x14ac:dyDescent="0.25">
      <c r="A4" t="s">
        <v>1</v>
      </c>
      <c r="B4" s="2">
        <v>28</v>
      </c>
    </row>
    <row r="5" spans="1:4" x14ac:dyDescent="0.25">
      <c r="A5" t="s">
        <v>2</v>
      </c>
      <c r="B5" s="2">
        <v>16.5</v>
      </c>
    </row>
    <row r="6" spans="1:4" x14ac:dyDescent="0.25">
      <c r="A6" t="s">
        <v>3</v>
      </c>
      <c r="B6" s="2">
        <v>25</v>
      </c>
    </row>
    <row r="7" spans="1:4" x14ac:dyDescent="0.25">
      <c r="A7" t="s">
        <v>34</v>
      </c>
      <c r="B7" t="s">
        <v>102</v>
      </c>
    </row>
    <row r="8" spans="1:4" x14ac:dyDescent="0.25">
      <c r="A8" t="s">
        <v>4</v>
      </c>
      <c r="B8" t="s">
        <v>45</v>
      </c>
    </row>
    <row r="9" spans="1:4" x14ac:dyDescent="0.25">
      <c r="A9" t="s">
        <v>5</v>
      </c>
      <c r="B9" t="s">
        <v>46</v>
      </c>
      <c r="D9" s="19"/>
    </row>
    <row r="10" spans="1:4" x14ac:dyDescent="0.25">
      <c r="A10" t="s">
        <v>15</v>
      </c>
      <c r="B10" t="s">
        <v>47</v>
      </c>
    </row>
    <row r="11" spans="1:4" x14ac:dyDescent="0.25">
      <c r="A11" t="s">
        <v>31</v>
      </c>
      <c r="B11" t="s">
        <v>48</v>
      </c>
    </row>
    <row r="12" spans="1:4" x14ac:dyDescent="0.25">
      <c r="A12" t="s">
        <v>32</v>
      </c>
      <c r="B12">
        <v>123456789</v>
      </c>
    </row>
    <row r="13" spans="1:4" x14ac:dyDescent="0.25">
      <c r="A13" t="s">
        <v>33</v>
      </c>
      <c r="B13" t="s">
        <v>49</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mportListe">
    <outlinePr summaryRight="0"/>
  </sheetPr>
  <dimension ref="A1:AH64"/>
  <sheetViews>
    <sheetView workbookViewId="0">
      <pane xSplit="2" ySplit="1" topLeftCell="C2" activePane="bottomRight" state="frozen"/>
      <selection pane="topRight" activeCell="C1" sqref="C1"/>
      <selection pane="bottomLeft" activeCell="A2" sqref="A2"/>
      <selection pane="bottomRight" activeCell="A2" sqref="A2:W6"/>
    </sheetView>
  </sheetViews>
  <sheetFormatPr baseColWidth="10" defaultRowHeight="15" outlineLevelCol="1" x14ac:dyDescent="0.25"/>
  <cols>
    <col min="1" max="1" width="9" customWidth="1"/>
    <col min="2" max="2" width="13.28515625" customWidth="1"/>
    <col min="3" max="3" width="12.5703125" customWidth="1"/>
    <col min="4" max="4" width="40.85546875" customWidth="1"/>
    <col min="5" max="5" width="32.5703125" customWidth="1"/>
    <col min="6" max="6" width="9.28515625" customWidth="1" collapsed="1"/>
    <col min="7" max="7" width="4" hidden="1" customWidth="1" outlineLevel="1"/>
    <col min="8" max="8" width="4.7109375" hidden="1" customWidth="1" outlineLevel="1"/>
    <col min="9" max="9" width="8.140625" hidden="1" customWidth="1" outlineLevel="1"/>
    <col min="10" max="10" width="4" hidden="1" customWidth="1" outlineLevel="1"/>
    <col min="11" max="11" width="5.140625" hidden="1" customWidth="1" outlineLevel="1"/>
    <col min="12" max="12" width="10.140625" hidden="1" customWidth="1" outlineLevel="1"/>
    <col min="13" max="14" width="4" hidden="1" customWidth="1" outlineLevel="1"/>
    <col min="15" max="15" width="8.85546875" hidden="1" customWidth="1" outlineLevel="1"/>
    <col min="16" max="16" width="4" hidden="1" customWidth="1" outlineLevel="1"/>
    <col min="17" max="17" width="4.5703125" hidden="1" customWidth="1" outlineLevel="1"/>
    <col min="18" max="18" width="10" hidden="1" customWidth="1" outlineLevel="1"/>
    <col min="19" max="19" width="4" hidden="1" customWidth="1" outlineLevel="1"/>
    <col min="20" max="20" width="4.140625" hidden="1" customWidth="1" outlineLevel="1"/>
    <col min="21" max="21" width="8.5703125" hidden="1" customWidth="1" outlineLevel="1"/>
    <col min="22" max="22" width="4.7109375" hidden="1" customWidth="1" outlineLevel="1"/>
    <col min="23" max="23" width="3.85546875" hidden="1" customWidth="1" outlineLevel="1"/>
    <col min="24" max="27" width="10.28515625" customWidth="1"/>
    <col min="28" max="28" width="15.85546875" customWidth="1"/>
    <col min="29" max="29" width="3.7109375" customWidth="1"/>
    <col min="30" max="30" width="11.140625" customWidth="1"/>
    <col min="31" max="31" width="10" customWidth="1"/>
    <col min="32" max="32" width="8.28515625" customWidth="1"/>
    <col min="33" max="33" width="9.140625" customWidth="1"/>
  </cols>
  <sheetData>
    <row r="1" spans="1:34" x14ac:dyDescent="0.25">
      <c r="A1" t="s">
        <v>11</v>
      </c>
      <c r="B1" t="s">
        <v>6</v>
      </c>
      <c r="C1" t="s">
        <v>79</v>
      </c>
      <c r="D1" t="s">
        <v>78</v>
      </c>
      <c r="E1" t="s">
        <v>59</v>
      </c>
      <c r="F1" s="32" t="s">
        <v>16</v>
      </c>
      <c r="G1" s="33" t="s">
        <v>7</v>
      </c>
      <c r="H1" s="34" t="s">
        <v>21</v>
      </c>
      <c r="I1" t="s">
        <v>17</v>
      </c>
      <c r="J1" t="s">
        <v>8</v>
      </c>
      <c r="K1" t="s">
        <v>22</v>
      </c>
      <c r="L1" s="32" t="s">
        <v>18</v>
      </c>
      <c r="M1" s="33" t="s">
        <v>9</v>
      </c>
      <c r="N1" s="34" t="s">
        <v>23</v>
      </c>
      <c r="O1" s="32" t="s">
        <v>19</v>
      </c>
      <c r="P1" s="33" t="s">
        <v>10</v>
      </c>
      <c r="Q1" s="34" t="s">
        <v>24</v>
      </c>
      <c r="R1" s="32" t="s">
        <v>35</v>
      </c>
      <c r="S1" s="33" t="s">
        <v>36</v>
      </c>
      <c r="T1" s="34" t="s">
        <v>37</v>
      </c>
      <c r="U1" s="32" t="s">
        <v>38</v>
      </c>
      <c r="V1" s="33" t="s">
        <v>39</v>
      </c>
      <c r="W1" s="34" t="s">
        <v>40</v>
      </c>
      <c r="X1" t="s">
        <v>107</v>
      </c>
      <c r="Y1" t="s">
        <v>111</v>
      </c>
      <c r="Z1" t="s">
        <v>112</v>
      </c>
      <c r="AA1" t="s">
        <v>113</v>
      </c>
      <c r="AB1" t="s">
        <v>118</v>
      </c>
      <c r="AD1" s="3" t="s">
        <v>110</v>
      </c>
      <c r="AE1" s="3" t="s">
        <v>114</v>
      </c>
      <c r="AF1" s="3" t="s">
        <v>117</v>
      </c>
      <c r="AG1" s="3" t="s">
        <v>115</v>
      </c>
      <c r="AH1" s="3" t="s">
        <v>119</v>
      </c>
    </row>
    <row r="2" spans="1:34" ht="13.5" customHeight="1" x14ac:dyDescent="0.25">
      <c r="A2" s="8" t="s">
        <v>12</v>
      </c>
      <c r="B2" s="9" t="s">
        <v>42</v>
      </c>
      <c r="C2" s="9" t="s">
        <v>80</v>
      </c>
      <c r="D2" t="s">
        <v>85</v>
      </c>
      <c r="E2" s="22" t="s">
        <v>70</v>
      </c>
      <c r="F2" s="10" t="s">
        <v>64</v>
      </c>
      <c r="G2" s="9" t="s">
        <v>30</v>
      </c>
      <c r="H2" s="11"/>
      <c r="I2" s="10" t="s">
        <v>65</v>
      </c>
      <c r="J2" s="12" t="s">
        <v>30</v>
      </c>
      <c r="K2" s="12"/>
      <c r="L2" s="10"/>
      <c r="M2" s="9"/>
      <c r="N2" s="11"/>
      <c r="O2" s="10"/>
      <c r="P2" s="9"/>
      <c r="Q2" s="11"/>
      <c r="R2" s="10"/>
      <c r="S2" s="9"/>
      <c r="T2" s="11"/>
      <c r="U2" s="9"/>
      <c r="V2" s="9"/>
      <c r="W2" s="13"/>
      <c r="X2">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199.5</v>
      </c>
      <c r="Y2">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2</v>
      </c>
      <c r="Z2">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2</v>
      </c>
      <c r="AA2">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2</v>
      </c>
      <c r="AB2"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Hinz+Kunz</v>
      </c>
    </row>
    <row r="3" spans="1:34" ht="13.5" customHeight="1" x14ac:dyDescent="0.25">
      <c r="A3" s="14" t="s">
        <v>13</v>
      </c>
      <c r="B3" s="15" t="s">
        <v>43</v>
      </c>
      <c r="C3" s="15" t="s">
        <v>81</v>
      </c>
      <c r="D3" t="s">
        <v>86</v>
      </c>
      <c r="E3" s="22" t="s">
        <v>71</v>
      </c>
      <c r="F3" s="16" t="s">
        <v>60</v>
      </c>
      <c r="G3" s="15"/>
      <c r="H3" s="17" t="s">
        <v>29</v>
      </c>
      <c r="I3" s="16"/>
      <c r="J3" s="15"/>
      <c r="K3" s="15"/>
      <c r="L3" s="16"/>
      <c r="M3" s="15"/>
      <c r="N3" s="17"/>
      <c r="O3" s="16"/>
      <c r="P3" s="15"/>
      <c r="Q3" s="17"/>
      <c r="R3" s="16"/>
      <c r="S3" s="15"/>
      <c r="T3" s="17"/>
      <c r="U3" s="15"/>
      <c r="V3" s="15"/>
      <c r="W3" s="18"/>
      <c r="X3">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3">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3">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3">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3"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3" s="6" t="s">
        <v>120</v>
      </c>
    </row>
    <row r="4" spans="1:34" ht="13.5" customHeight="1" x14ac:dyDescent="0.25">
      <c r="A4" s="8" t="s">
        <v>20</v>
      </c>
      <c r="B4" s="9" t="s">
        <v>44</v>
      </c>
      <c r="C4" s="9" t="s">
        <v>82</v>
      </c>
      <c r="D4" t="s">
        <v>87</v>
      </c>
      <c r="E4" s="22" t="s">
        <v>72</v>
      </c>
      <c r="F4" s="10" t="s">
        <v>61</v>
      </c>
      <c r="G4" s="9"/>
      <c r="H4" s="11" t="s">
        <v>29</v>
      </c>
      <c r="I4" s="10"/>
      <c r="J4" s="9"/>
      <c r="K4" s="9"/>
      <c r="L4" s="10"/>
      <c r="M4" s="9"/>
      <c r="N4" s="11"/>
      <c r="O4" s="10"/>
      <c r="P4" s="9"/>
      <c r="Q4" s="11"/>
      <c r="R4" s="10"/>
      <c r="S4" s="9"/>
      <c r="T4" s="11"/>
      <c r="U4" s="9"/>
      <c r="V4" s="9"/>
      <c r="W4" s="13"/>
      <c r="X4">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4">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4">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4">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4"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5" spans="1:34" ht="13.5" customHeight="1" x14ac:dyDescent="0.25">
      <c r="A5" s="14" t="s">
        <v>12</v>
      </c>
      <c r="B5" s="15" t="s">
        <v>68</v>
      </c>
      <c r="C5" s="15" t="s">
        <v>83</v>
      </c>
      <c r="D5" t="s">
        <v>89</v>
      </c>
      <c r="E5" s="22" t="s">
        <v>73</v>
      </c>
      <c r="F5" s="16" t="s">
        <v>62</v>
      </c>
      <c r="G5" s="15"/>
      <c r="H5" s="17"/>
      <c r="I5" s="16" t="s">
        <v>63</v>
      </c>
      <c r="J5" s="15" t="s">
        <v>29</v>
      </c>
      <c r="K5" s="15"/>
      <c r="L5" s="16"/>
      <c r="M5" s="15"/>
      <c r="N5" s="17"/>
      <c r="O5" s="16"/>
      <c r="P5" s="15"/>
      <c r="Q5" s="17"/>
      <c r="R5" s="16"/>
      <c r="S5" s="15"/>
      <c r="T5" s="17"/>
      <c r="U5" s="15"/>
      <c r="V5" s="15"/>
      <c r="W5" s="18"/>
      <c r="X5">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174.5</v>
      </c>
      <c r="Y5">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2</v>
      </c>
      <c r="Z5">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2</v>
      </c>
      <c r="AA5">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1</v>
      </c>
      <c r="AB5"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Krethi+Plethi</v>
      </c>
      <c r="AD5" t="s">
        <v>69</v>
      </c>
    </row>
    <row r="6" spans="1:34" ht="13.5" customHeight="1" x14ac:dyDescent="0.25">
      <c r="A6" s="8" t="s">
        <v>12</v>
      </c>
      <c r="B6" s="9" t="s">
        <v>66</v>
      </c>
      <c r="C6" s="9" t="s">
        <v>84</v>
      </c>
      <c r="D6" t="s">
        <v>88</v>
      </c>
      <c r="E6" s="22" t="s">
        <v>74</v>
      </c>
      <c r="F6" s="10" t="s">
        <v>67</v>
      </c>
      <c r="G6" s="9"/>
      <c r="H6" s="11"/>
      <c r="I6" s="10"/>
      <c r="J6" s="9"/>
      <c r="K6" s="9"/>
      <c r="L6" s="10"/>
      <c r="M6" s="9"/>
      <c r="N6" s="11"/>
      <c r="O6" s="10"/>
      <c r="P6" s="9"/>
      <c r="Q6" s="11"/>
      <c r="R6" s="10"/>
      <c r="S6" s="9"/>
      <c r="T6" s="11"/>
      <c r="U6" s="9"/>
      <c r="V6" s="9"/>
      <c r="W6" s="13"/>
      <c r="X6">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98</v>
      </c>
      <c r="Y6">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1</v>
      </c>
      <c r="Z6">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1</v>
      </c>
      <c r="AA6">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6"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Otto</v>
      </c>
      <c r="AD6" s="20" t="str">
        <f>LEFT(SUBSTITUTE(exportfile,"GAB-Person-Export_",""),4)</f>
        <v>2023</v>
      </c>
    </row>
    <row r="7" spans="1:34" ht="13.5" customHeight="1" x14ac:dyDescent="0.25">
      <c r="X7">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7">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7">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7">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7"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7" t="s">
        <v>55</v>
      </c>
    </row>
    <row r="8" spans="1:34" ht="13.5" customHeight="1" x14ac:dyDescent="0.25">
      <c r="X8">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8">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8">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8">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8"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8" s="6" t="s">
        <v>56</v>
      </c>
      <c r="AE8" s="6" t="s">
        <v>57</v>
      </c>
      <c r="AF8" s="6"/>
    </row>
    <row r="9" spans="1:34" ht="13.5" customHeight="1" x14ac:dyDescent="0.25">
      <c r="X9">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9">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9">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9">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9"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9" t="s">
        <v>54</v>
      </c>
      <c r="AH9" s="3"/>
    </row>
    <row r="10" spans="1:34" ht="13.5" customHeight="1" x14ac:dyDescent="0.25">
      <c r="X10">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10">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10">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10">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10"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10" s="25">
        <f>DATE(AufnahmeJahr,AE10,AF10)</f>
        <v>45102</v>
      </c>
      <c r="AE10" s="6">
        <v>6</v>
      </c>
      <c r="AF10" s="6">
        <v>25</v>
      </c>
    </row>
    <row r="11" spans="1:34" ht="13.5" customHeight="1" x14ac:dyDescent="0.25">
      <c r="X11">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11">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11">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11">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11"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11" t="s">
        <v>121</v>
      </c>
    </row>
    <row r="12" spans="1:34" ht="13.5" customHeight="1" x14ac:dyDescent="0.25">
      <c r="X12">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12">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12">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12">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12"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12" s="6" t="s">
        <v>50</v>
      </c>
    </row>
    <row r="13" spans="1:34" ht="13.5" customHeight="1" x14ac:dyDescent="0.25">
      <c r="X13">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13">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13">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13">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13"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13" s="6" t="s">
        <v>51</v>
      </c>
    </row>
    <row r="14" spans="1:34" ht="13.5" customHeight="1" x14ac:dyDescent="0.25">
      <c r="X14">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14">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14">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14">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14"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14" s="6" t="s">
        <v>52</v>
      </c>
    </row>
    <row r="15" spans="1:34" ht="13.5" customHeight="1" x14ac:dyDescent="0.25">
      <c r="X15">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15">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15">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15">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15"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15" s="6" t="s">
        <v>53</v>
      </c>
    </row>
    <row r="16" spans="1:34" ht="13.5" customHeight="1" x14ac:dyDescent="0.25">
      <c r="X16">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16">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16">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16">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16"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16" s="6" t="s">
        <v>106</v>
      </c>
    </row>
    <row r="17" spans="24:31" ht="13.5" customHeight="1" x14ac:dyDescent="0.25">
      <c r="X17">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17">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17">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17">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17"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17" s="6" t="s">
        <v>109</v>
      </c>
      <c r="AE17" t="s">
        <v>116</v>
      </c>
    </row>
    <row r="18" spans="24:31" ht="13.5" customHeight="1" x14ac:dyDescent="0.25">
      <c r="X18">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18">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18">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18">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18"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18" t="s">
        <v>122</v>
      </c>
    </row>
    <row r="19" spans="24:31" ht="13.5" customHeight="1" x14ac:dyDescent="0.25">
      <c r="X19">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19">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19">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19">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19"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19" s="6" t="s">
        <v>76</v>
      </c>
    </row>
    <row r="20" spans="24:31" ht="13.5" customHeight="1" x14ac:dyDescent="0.25">
      <c r="X20">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20">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20">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20">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20"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21" spans="24:31" ht="13.5" customHeight="1" x14ac:dyDescent="0.25">
      <c r="X21">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21">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21">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21">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21"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22" spans="24:31" ht="13.5" customHeight="1" x14ac:dyDescent="0.25">
      <c r="X22">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22">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22">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22">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22"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22" t="s">
        <v>41</v>
      </c>
    </row>
    <row r="23" spans="24:31" ht="13.5" customHeight="1" x14ac:dyDescent="0.25">
      <c r="X23">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23">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23">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23">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23"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24" spans="24:31" ht="13.5" customHeight="1" x14ac:dyDescent="0.25">
      <c r="X24">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24">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24">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24">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24"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25" spans="24:31" ht="13.5" customHeight="1" x14ac:dyDescent="0.25">
      <c r="X25">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25">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25">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25">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25"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26" spans="24:31" ht="13.5" customHeight="1" x14ac:dyDescent="0.25">
      <c r="X26">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26">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26">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26">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26"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27" spans="24:31" ht="13.5" customHeight="1" x14ac:dyDescent="0.25">
      <c r="X27">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27">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27">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27">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27"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28" spans="24:31" ht="13.5" customHeight="1" x14ac:dyDescent="0.25">
      <c r="X28">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28">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28">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28">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28"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29" spans="24:31" ht="13.5" customHeight="1" x14ac:dyDescent="0.25">
      <c r="X29">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29">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29">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29">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29"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30" spans="24:31" ht="13.5" customHeight="1" x14ac:dyDescent="0.25">
      <c r="X30">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30">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30">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30">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30"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31" spans="24:31" ht="13.5" customHeight="1" x14ac:dyDescent="0.25">
      <c r="X31">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31">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31">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31">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31"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32" spans="24:31" ht="13.5" customHeight="1" x14ac:dyDescent="0.25">
      <c r="X32">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32">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32">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32">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32"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33" spans="24:28" ht="13.5" customHeight="1" x14ac:dyDescent="0.25">
      <c r="X33">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33">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33">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33">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33"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34" spans="24:28" ht="13.5" customHeight="1" x14ac:dyDescent="0.25">
      <c r="X34">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34">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34">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34">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34"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35" spans="24:28" ht="13.5" customHeight="1" x14ac:dyDescent="0.25">
      <c r="X35">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35">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35">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35">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35"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36" spans="24:28" ht="13.5" customHeight="1" x14ac:dyDescent="0.25">
      <c r="X36">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36">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36">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36">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36"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37" spans="24:28" ht="13.5" customHeight="1" x14ac:dyDescent="0.25">
      <c r="X37">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37">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37">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37">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37"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38" spans="24:28" ht="13.5" customHeight="1" x14ac:dyDescent="0.25">
      <c r="X38">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38">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38">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38">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38"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39" spans="24:28" ht="13.5" customHeight="1" x14ac:dyDescent="0.25">
      <c r="X39">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39">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39">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39">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39"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40" spans="24:28" ht="13.5" customHeight="1" x14ac:dyDescent="0.25">
      <c r="X40">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40">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40">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40">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40"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41" spans="24:28" ht="13.5" customHeight="1" x14ac:dyDescent="0.25">
      <c r="X41">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41">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41">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41">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41"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42" spans="24:28" ht="13.5" customHeight="1" x14ac:dyDescent="0.25">
      <c r="X42">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42">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42">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42">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42"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43" spans="24:28" ht="13.5" customHeight="1" x14ac:dyDescent="0.25">
      <c r="X43">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43">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43">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43">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43"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44" spans="24:28" ht="13.5" customHeight="1" x14ac:dyDescent="0.25">
      <c r="X44">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44">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44">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44">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44"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45" spans="24:28" ht="13.5" customHeight="1" x14ac:dyDescent="0.25">
      <c r="X45">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45">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45">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45">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45"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46" spans="24:28" ht="13.5" customHeight="1" x14ac:dyDescent="0.25">
      <c r="X46">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46">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46">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46">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46"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47" spans="24:28" ht="13.5" customHeight="1" x14ac:dyDescent="0.25">
      <c r="X47">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47">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47">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47">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47"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48" spans="24:28" ht="13.5" customHeight="1" x14ac:dyDescent="0.25">
      <c r="X48">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48">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48">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48">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48"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49" spans="24:28" ht="13.5" customHeight="1" x14ac:dyDescent="0.25">
      <c r="X49">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49">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49">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49">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49"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50" spans="24:28" ht="13.5" customHeight="1" x14ac:dyDescent="0.25">
      <c r="X50">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50">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50">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50">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50"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51" spans="24:28" ht="13.5" customHeight="1" x14ac:dyDescent="0.25">
      <c r="X51">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51">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51">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51">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51"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52" spans="24:28" ht="13.5" customHeight="1" x14ac:dyDescent="0.25">
      <c r="X52">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52">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52">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52">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52"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53" spans="24:28" ht="13.5" customHeight="1" x14ac:dyDescent="0.25">
      <c r="X53">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53">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53">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53">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53"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54" spans="24:28" ht="13.5" customHeight="1" x14ac:dyDescent="0.25">
      <c r="X54">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54">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54">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54">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54"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55" spans="24:28" ht="13.5" customHeight="1" x14ac:dyDescent="0.25">
      <c r="X55">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55">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55">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55">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55"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56" spans="24:28" ht="13.5" customHeight="1" x14ac:dyDescent="0.25">
      <c r="X56">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56">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56">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56">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56"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57" spans="24:28" ht="13.5" customHeight="1" x14ac:dyDescent="0.25">
      <c r="X57">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57">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57">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57">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57"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58" spans="24:28" ht="13.5" customHeight="1" x14ac:dyDescent="0.25">
      <c r="X58">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58">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58">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58">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58"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59" spans="24:28" ht="13.5" customHeight="1" x14ac:dyDescent="0.25">
      <c r="X59">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59">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59">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59">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59"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60" spans="24:28" ht="13.5" customHeight="1" x14ac:dyDescent="0.25">
      <c r="X60">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60">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60">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60">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60"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61" spans="24:28" x14ac:dyDescent="0.25">
      <c r="X61">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61">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61">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61">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61"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62" spans="24:28" x14ac:dyDescent="0.25">
      <c r="X62">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62">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62">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62">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62"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63" spans="24:28" x14ac:dyDescent="0.25">
      <c r="X63">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63">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63">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63">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63"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64" spans="24:28" x14ac:dyDescent="0.25">
      <c r="X64">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64">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64">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64">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64"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sheetData>
  <dataValidations disablePrompts="1" count="1">
    <dataValidation type="list" allowBlank="1" showInputMessage="1" showErrorMessage="1" sqref="AD19" xr:uid="{00000000-0002-0000-0200-000001000000}">
      <formula1>"Nachname/Plz,Strasse/Plz"</formula1>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Modul1.DatenÜbernehmen">
                <anchor moveWithCells="1" sizeWithCells="1">
                  <from>
                    <xdr:col>28</xdr:col>
                    <xdr:colOff>228600</xdr:colOff>
                    <xdr:row>0</xdr:row>
                    <xdr:rowOff>142875</xdr:rowOff>
                  </from>
                  <to>
                    <xdr:col>33</xdr:col>
                    <xdr:colOff>409575</xdr:colOff>
                    <xdr:row>1</xdr:row>
                    <xdr:rowOff>161925</xdr:rowOff>
                  </to>
                </anchor>
              </controlPr>
            </control>
          </mc:Choice>
        </mc:AlternateContent>
        <mc:AlternateContent xmlns:mc="http://schemas.openxmlformats.org/markup-compatibility/2006">
          <mc:Choice Requires="x14">
            <control shapeId="3074" r:id="rId4" name="Button 2">
              <controlPr defaultSize="0" print="0" autoFill="0" autoPict="0" macro="[0]!inGitSpeichern">
                <anchor moveWithCells="1" sizeWithCells="1">
                  <from>
                    <xdr:col>29</xdr:col>
                    <xdr:colOff>19050</xdr:colOff>
                    <xdr:row>20</xdr:row>
                    <xdr:rowOff>0</xdr:rowOff>
                  </from>
                  <to>
                    <xdr:col>31</xdr:col>
                    <xdr:colOff>161925</xdr:colOff>
                    <xdr:row>21</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Z13"/>
  <sheetViews>
    <sheetView workbookViewId="0">
      <selection activeCell="H3" sqref="H3"/>
    </sheetView>
  </sheetViews>
  <sheetFormatPr baseColWidth="10" defaultRowHeight="15" customHeight="1" x14ac:dyDescent="0.25"/>
  <cols>
    <col min="1" max="1" width="26" bestFit="1" customWidth="1"/>
    <col min="5" max="5" width="18.42578125" bestFit="1" customWidth="1"/>
    <col min="6" max="6" width="18.42578125" customWidth="1"/>
    <col min="7" max="7" width="29.140625" customWidth="1"/>
    <col min="8" max="8" width="22.140625" customWidth="1"/>
  </cols>
  <sheetData>
    <row r="1" spans="1:26" ht="15" customHeight="1" x14ac:dyDescent="0.25">
      <c r="A1" t="s">
        <v>0</v>
      </c>
      <c r="B1" s="2">
        <v>70</v>
      </c>
      <c r="D1" s="8" t="s">
        <v>12</v>
      </c>
      <c r="E1" s="9" t="s">
        <v>42</v>
      </c>
      <c r="F1" s="9" t="s">
        <v>80</v>
      </c>
      <c r="G1" t="s">
        <v>85</v>
      </c>
      <c r="H1" s="22" t="s">
        <v>70</v>
      </c>
      <c r="I1" s="10" t="s">
        <v>64</v>
      </c>
      <c r="J1" s="9" t="s">
        <v>30</v>
      </c>
      <c r="K1" s="11"/>
      <c r="L1" s="10" t="s">
        <v>65</v>
      </c>
      <c r="M1" s="12" t="s">
        <v>30</v>
      </c>
      <c r="N1" s="12"/>
      <c r="O1" s="10"/>
      <c r="P1" s="9"/>
      <c r="Q1" s="11"/>
      <c r="R1" s="10"/>
      <c r="S1" s="9"/>
      <c r="T1" s="11"/>
      <c r="U1" s="10"/>
      <c r="V1" s="9"/>
      <c r="W1" s="11"/>
      <c r="X1" s="9"/>
      <c r="Y1" s="9"/>
      <c r="Z1" s="13"/>
    </row>
    <row r="2" spans="1:26" ht="15" customHeight="1" x14ac:dyDescent="0.25">
      <c r="A2" t="s">
        <v>25</v>
      </c>
      <c r="B2" s="2">
        <v>35</v>
      </c>
      <c r="D2" s="14" t="s">
        <v>13</v>
      </c>
      <c r="E2" s="15" t="s">
        <v>43</v>
      </c>
      <c r="F2" s="15" t="s">
        <v>81</v>
      </c>
      <c r="G2" t="s">
        <v>86</v>
      </c>
      <c r="H2" s="22" t="s">
        <v>71</v>
      </c>
      <c r="I2" s="16" t="s">
        <v>60</v>
      </c>
      <c r="J2" s="15"/>
      <c r="K2" s="17" t="s">
        <v>29</v>
      </c>
      <c r="L2" s="16"/>
      <c r="M2" s="15"/>
      <c r="N2" s="15"/>
      <c r="O2" s="16"/>
      <c r="P2" s="15"/>
      <c r="Q2" s="17"/>
      <c r="R2" s="16"/>
      <c r="S2" s="15"/>
      <c r="T2" s="17"/>
      <c r="U2" s="16"/>
      <c r="V2" s="15"/>
      <c r="W2" s="17"/>
      <c r="X2" s="15"/>
      <c r="Y2" s="15"/>
      <c r="Z2" s="18"/>
    </row>
    <row r="3" spans="1:26" ht="15" customHeight="1" x14ac:dyDescent="0.25">
      <c r="A3" t="s">
        <v>75</v>
      </c>
      <c r="B3" s="24">
        <v>2</v>
      </c>
      <c r="D3" s="8" t="s">
        <v>20</v>
      </c>
      <c r="E3" s="9" t="s">
        <v>44</v>
      </c>
      <c r="F3" s="9" t="s">
        <v>82</v>
      </c>
      <c r="G3" t="s">
        <v>87</v>
      </c>
      <c r="H3" s="22" t="s">
        <v>72</v>
      </c>
      <c r="I3" s="10" t="s">
        <v>61</v>
      </c>
      <c r="J3" s="9"/>
      <c r="K3" s="11" t="s">
        <v>29</v>
      </c>
      <c r="L3" s="10"/>
      <c r="M3" s="9"/>
      <c r="N3" s="9"/>
      <c r="O3" s="10"/>
      <c r="P3" s="9"/>
      <c r="Q3" s="11"/>
      <c r="R3" s="10"/>
      <c r="S3" s="9"/>
      <c r="T3" s="11"/>
      <c r="U3" s="10"/>
      <c r="V3" s="9"/>
      <c r="W3" s="11"/>
      <c r="X3" s="9"/>
      <c r="Y3" s="9"/>
      <c r="Z3" s="13"/>
    </row>
    <row r="4" spans="1:26" ht="15" customHeight="1" x14ac:dyDescent="0.25">
      <c r="A4" t="s">
        <v>1</v>
      </c>
      <c r="B4" s="2">
        <v>28</v>
      </c>
      <c r="D4" s="14" t="s">
        <v>12</v>
      </c>
      <c r="E4" s="15" t="s">
        <v>68</v>
      </c>
      <c r="F4" s="15" t="s">
        <v>83</v>
      </c>
      <c r="G4" t="s">
        <v>89</v>
      </c>
      <c r="H4" s="22" t="s">
        <v>73</v>
      </c>
      <c r="I4" s="16" t="s">
        <v>62</v>
      </c>
      <c r="J4" s="15"/>
      <c r="K4" s="17"/>
      <c r="L4" s="16" t="s">
        <v>63</v>
      </c>
      <c r="M4" s="15" t="s">
        <v>29</v>
      </c>
      <c r="N4" s="15"/>
      <c r="O4" s="16"/>
      <c r="P4" s="15"/>
      <c r="Q4" s="17"/>
      <c r="R4" s="16"/>
      <c r="S4" s="15"/>
      <c r="T4" s="17"/>
      <c r="U4" s="16"/>
      <c r="V4" s="15"/>
      <c r="W4" s="17"/>
      <c r="X4" s="15"/>
      <c r="Y4" s="15"/>
      <c r="Z4" s="18"/>
    </row>
    <row r="5" spans="1:26" ht="15" customHeight="1" x14ac:dyDescent="0.25">
      <c r="A5" t="s">
        <v>2</v>
      </c>
      <c r="B5" s="2">
        <v>16.5</v>
      </c>
      <c r="D5" s="8" t="s">
        <v>12</v>
      </c>
      <c r="E5" s="9" t="s">
        <v>66</v>
      </c>
      <c r="F5" s="9" t="s">
        <v>84</v>
      </c>
      <c r="G5" t="s">
        <v>88</v>
      </c>
      <c r="H5" s="22" t="s">
        <v>74</v>
      </c>
      <c r="I5" s="10" t="s">
        <v>67</v>
      </c>
      <c r="J5" s="9"/>
      <c r="K5" s="11"/>
      <c r="L5" s="10"/>
      <c r="M5" s="9"/>
      <c r="N5" s="9"/>
      <c r="O5" s="10"/>
      <c r="P5" s="9"/>
      <c r="Q5" s="11"/>
      <c r="R5" s="10"/>
      <c r="S5" s="9"/>
      <c r="T5" s="11"/>
      <c r="U5" s="10"/>
      <c r="V5" s="9"/>
      <c r="W5" s="11"/>
      <c r="X5" s="9"/>
      <c r="Y5" s="9"/>
      <c r="Z5" s="13"/>
    </row>
    <row r="6" spans="1:26" ht="15" customHeight="1" x14ac:dyDescent="0.25">
      <c r="A6" t="s">
        <v>3</v>
      </c>
      <c r="B6" s="2">
        <v>25</v>
      </c>
    </row>
    <row r="7" spans="1:26" ht="15" customHeight="1" x14ac:dyDescent="0.25">
      <c r="A7" t="s">
        <v>90</v>
      </c>
      <c r="B7" t="s">
        <v>102</v>
      </c>
    </row>
    <row r="8" spans="1:26" ht="15" customHeight="1" x14ac:dyDescent="0.25">
      <c r="A8" t="s">
        <v>4</v>
      </c>
      <c r="B8" t="s">
        <v>45</v>
      </c>
    </row>
    <row r="9" spans="1:26" ht="15" customHeight="1" x14ac:dyDescent="0.25">
      <c r="A9" t="s">
        <v>5</v>
      </c>
      <c r="B9" t="s">
        <v>46</v>
      </c>
    </row>
    <row r="10" spans="1:26" ht="15" customHeight="1" x14ac:dyDescent="0.25">
      <c r="A10" t="s">
        <v>15</v>
      </c>
      <c r="B10" t="s">
        <v>47</v>
      </c>
    </row>
    <row r="11" spans="1:26" ht="15" customHeight="1" x14ac:dyDescent="0.25">
      <c r="A11" t="s">
        <v>31</v>
      </c>
      <c r="B11" t="s">
        <v>48</v>
      </c>
    </row>
    <row r="12" spans="1:26" ht="15" customHeight="1" x14ac:dyDescent="0.25">
      <c r="A12" t="s">
        <v>32</v>
      </c>
      <c r="B12">
        <v>123456789</v>
      </c>
    </row>
    <row r="13" spans="1:26" ht="15" customHeight="1" x14ac:dyDescent="0.25">
      <c r="A13" t="s">
        <v>33</v>
      </c>
      <c r="B13" t="s">
        <v>49</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56</vt:i4>
      </vt:variant>
    </vt:vector>
  </HeadingPairs>
  <TitlesOfParts>
    <vt:vector size="60" baseType="lpstr">
      <vt:lpstr>Brief</vt:lpstr>
      <vt:lpstr>Parameter</vt:lpstr>
      <vt:lpstr>Liste</vt:lpstr>
      <vt:lpstr>Beispiel</vt:lpstr>
      <vt:lpstr>adresse</vt:lpstr>
      <vt:lpstr>anrede</vt:lpstr>
      <vt:lpstr>anzEinschreib</vt:lpstr>
      <vt:lpstr>AnzEinschrFormel</vt:lpstr>
      <vt:lpstr>anzKinder</vt:lpstr>
      <vt:lpstr>AnzKinderFormel</vt:lpstr>
      <vt:lpstr>AnzMitgFormel</vt:lpstr>
      <vt:lpstr>anzMitgl</vt:lpstr>
      <vt:lpstr>AufnahmeJahr</vt:lpstr>
      <vt:lpstr>bank</vt:lpstr>
      <vt:lpstr>bodymsg</vt:lpstr>
      <vt:lpstr>ccrecipient</vt:lpstr>
      <vt:lpstr>CheckSumme</vt:lpstr>
      <vt:lpstr>datenträger</vt:lpstr>
      <vt:lpstr>Brief!Druckbereich</vt:lpstr>
      <vt:lpstr>einschreibgeb</vt:lpstr>
      <vt:lpstr>einschreibsumme</vt:lpstr>
      <vt:lpstr>Erinnerung</vt:lpstr>
      <vt:lpstr>ermässigt</vt:lpstr>
      <vt:lpstr>exportfile</vt:lpstr>
      <vt:lpstr>FunktionenErwMitglieder</vt:lpstr>
      <vt:lpstr>gebührgesamt</vt:lpstr>
      <vt:lpstr>gitOrdner</vt:lpstr>
      <vt:lpstr>GruppierenNach</vt:lpstr>
      <vt:lpstr>konto</vt:lpstr>
      <vt:lpstr>kopfname</vt:lpstr>
      <vt:lpstr>lautend_auf</vt:lpstr>
      <vt:lpstr>mailcmd</vt:lpstr>
      <vt:lpstr>mailpwd</vt:lpstr>
      <vt:lpstr>mailuser</vt:lpstr>
      <vt:lpstr>maxAnzahlMglBtr</vt:lpstr>
      <vt:lpstr>mglbeitragsumme</vt:lpstr>
      <vt:lpstr>mitglbeitrag</vt:lpstr>
      <vt:lpstr>mitglbeitragweitere</vt:lpstr>
      <vt:lpstr>nachreg</vt:lpstr>
      <vt:lpstr>neuregistrierungAb</vt:lpstr>
      <vt:lpstr>pfadis</vt:lpstr>
      <vt:lpstr>pfadisFormel</vt:lpstr>
      <vt:lpstr>QRCode</vt:lpstr>
      <vt:lpstr>recipient</vt:lpstr>
      <vt:lpstr>referenz</vt:lpstr>
      <vt:lpstr>reg</vt:lpstr>
      <vt:lpstr>regsumme</vt:lpstr>
      <vt:lpstr>regweitere</vt:lpstr>
      <vt:lpstr>subject</vt:lpstr>
      <vt:lpstr>teiler</vt:lpstr>
      <vt:lpstr>testkonto</vt:lpstr>
      <vt:lpstr>testmail</vt:lpstr>
      <vt:lpstr>texteinschreib</vt:lpstr>
      <vt:lpstr>textmglb</vt:lpstr>
      <vt:lpstr>textreg</vt:lpstr>
      <vt:lpstr>vorAnzahlKinder</vt:lpstr>
      <vt:lpstr>www</vt:lpstr>
      <vt:lpstr>zeilenindex</vt:lpstr>
      <vt:lpstr>zustext</vt:lpstr>
      <vt:lpstr>zvrzahl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roland kapl</dc:creator>
  <cp:lastModifiedBy>roland kapl</cp:lastModifiedBy>
  <cp:lastPrinted>2023-01-16T10:13:57Z</cp:lastPrinted>
  <dcterms:created xsi:type="dcterms:W3CDTF">2018-11-03T22:12:52Z</dcterms:created>
  <dcterms:modified xsi:type="dcterms:W3CDTF">2023-10-27T12:32:25Z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ec5bffa3-4835-416f-a61f-b81acebd7641</vt:lpwstr>
  </property>
</Properties>
</file>