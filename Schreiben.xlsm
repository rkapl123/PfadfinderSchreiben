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DieseArbeitsmappe" defaultThemeVersion="166925"/>
  <mc:AlternateContent xmlns:mc="http://schemas.openxmlformats.org/markup-compatibility/2006">
    <mc:Choice Requires="x15">
      <x15ac:absPath xmlns:x15ac="http://schemas.microsoft.com/office/spreadsheetml/2010/11/ac" url="C:\AllSync\Elternrat\Schriftführung\Jahresgebühr\"/>
    </mc:Choice>
  </mc:AlternateContent>
  <xr:revisionPtr revIDLastSave="0" documentId="8_{B61653F9-E533-4184-97EF-81F0AB054E9D}" xr6:coauthVersionLast="43" xr6:coauthVersionMax="43" xr10:uidLastSave="{00000000-0000-0000-0000-000000000000}"/>
  <bookViews>
    <workbookView xWindow="-120" yWindow="-120" windowWidth="20730" windowHeight="11310" tabRatio="481" xr2:uid="{00000000-000D-0000-FFFF-FFFF00000000}"/>
  </bookViews>
  <sheets>
    <sheet name="Brief" sheetId="1" r:id="rId1"/>
    <sheet name="Parameter" sheetId="2" r:id="rId2"/>
    <sheet name="Liste" sheetId="3" r:id="rId3"/>
    <sheet name="Beispiel" sheetId="4" state="hidden" r:id="rId4"/>
  </sheets>
  <functionGroups builtInGroupCount="19"/>
  <definedNames>
    <definedName name="adresse">Parameter!$B$11</definedName>
    <definedName name="anrede">Brief!$E$4</definedName>
    <definedName name="anzEinschreib">Brief!$F$15</definedName>
    <definedName name="anzKinder">Brief!$F$13</definedName>
    <definedName name="anzMitgl">Brief!$F$14</definedName>
    <definedName name="AufnahmeJahr">Liste!$Z$6</definedName>
    <definedName name="bank">Parameter!$B$10</definedName>
    <definedName name="bodymsg">Brief!$H$3</definedName>
    <definedName name="ccrecipient">Brief!$I$2</definedName>
    <definedName name="CheckSumme">Liste!$Z$1</definedName>
    <definedName name="datenträger">Brief!$E$10</definedName>
    <definedName name="_xlnm.Print_Area" localSheetId="0">Brief!$A$1:$D$31</definedName>
    <definedName name="einschreibgeb">Parameter!$B$6</definedName>
    <definedName name="einschreibsumme">Brief!$F$19</definedName>
    <definedName name="Erinnerung">Brief!$G$8</definedName>
    <definedName name="ermässigt">Liste!$Z$8:$AB$8</definedName>
    <definedName name="exportfile">Liste!$AB$1</definedName>
    <definedName name="FunktionenErwMitglieder">Liste!$Z$12:$Z$17</definedName>
    <definedName name="gebührgesamt">Brief!$F$20</definedName>
    <definedName name="gitOrdner">Liste!$Z$22</definedName>
    <definedName name="GruppierenNach">Liste!$Z$19</definedName>
    <definedName name="konto">Parameter!$B$8</definedName>
    <definedName name="kopfname">Parameter!$B$7</definedName>
    <definedName name="lautend_auf">Parameter!$B$9</definedName>
    <definedName name="LeiterÜbernehmen">Liste!$Z$4</definedName>
    <definedName name="mailcmd">Brief!$H$2</definedName>
    <definedName name="mailpwd">Brief!$I$1</definedName>
    <definedName name="mailuser">Brief!$H$1</definedName>
    <definedName name="maxAnzahlMglBtr">Parameter!$B$3</definedName>
    <definedName name="mglbeitragsumme">Brief!$F$17</definedName>
    <definedName name="mitglbeitrag">Parameter!$B$1</definedName>
    <definedName name="mitglbeitragweitere">Parameter!$B$2</definedName>
    <definedName name="nachreg">Brief!$G$6</definedName>
    <definedName name="neuregistrierungAb">Liste!$Z$10</definedName>
    <definedName name="pfadis">Brief!$F$11</definedName>
    <definedName name="QRCode">Brief!$A$26</definedName>
    <definedName name="recipient">Brief!$E$3</definedName>
    <definedName name="referenz">Brief!$E$5</definedName>
    <definedName name="reg">Parameter!$B$4</definedName>
    <definedName name="regsumme">Brief!$F$18</definedName>
    <definedName name="regweitere">Parameter!$B$5</definedName>
    <definedName name="subject">Brief!$A$7</definedName>
    <definedName name="teiler">Brief!$F$16</definedName>
    <definedName name="testkonto">Brief!$J$1</definedName>
    <definedName name="testmail">Brief!$G$7</definedName>
    <definedName name="texteinschreib">Brief!$A$17</definedName>
    <definedName name="textmglb">Brief!$K$7</definedName>
    <definedName name="textreg">Brief!$K$8</definedName>
    <definedName name="vorAnzahlKinder">Brief!$F$12</definedName>
    <definedName name="www">Parameter!$B$13</definedName>
    <definedName name="zeilenindex">Brief!$E$1</definedName>
    <definedName name="zustext">Brief!$E$21</definedName>
    <definedName name="zvrzahl">Parameter!$B$12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2" i="3" l="1"/>
  <c r="Y3" i="3"/>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E3" i="1" l="1"/>
  <c r="A1" i="1" l="1"/>
  <c r="A10" i="1" l="1"/>
  <c r="A6" i="1" l="1"/>
  <c r="A2" i="1" l="1"/>
  <c r="A24" i="1"/>
  <c r="E4" i="1"/>
  <c r="A8" i="1" l="1"/>
  <c r="F16" i="1"/>
  <c r="A13" i="1" l="1"/>
  <c r="A14" i="1"/>
  <c r="A12" i="1"/>
  <c r="F12" i="1"/>
  <c r="F13" i="1" l="1"/>
  <c r="F17" i="1" s="1"/>
  <c r="F11" i="1"/>
  <c r="I3" i="1" s="1"/>
  <c r="F15" i="1"/>
  <c r="F14" i="1"/>
  <c r="E5" i="1"/>
  <c r="A3" i="1"/>
  <c r="J3" i="1" l="1"/>
  <c r="H3" i="1" s="1"/>
  <c r="A19" i="1"/>
  <c r="Z6" i="3" l="1"/>
  <c r="Z10" i="3" s="1"/>
  <c r="D31" i="1"/>
  <c r="D30" i="1"/>
  <c r="A31" i="1"/>
  <c r="A30" i="1"/>
  <c r="A29" i="1"/>
  <c r="D29" i="1"/>
  <c r="A21" i="1" l="1"/>
  <c r="A7" i="1"/>
  <c r="H2" i="1" s="1"/>
  <c r="A11" i="1"/>
  <c r="A20" i="1" l="1"/>
  <c r="F19" i="1"/>
  <c r="F18" i="1" l="1"/>
  <c r="E21" i="1" s="1"/>
  <c r="A17" i="1" l="1"/>
  <c r="F20" i="1"/>
  <c r="A16" i="1" s="1"/>
  <c r="E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roland kapl</author>
  </authors>
  <commentList>
    <comment ref="H1" authorId="0" shapeId="0" xr:uid="{B3307324-AE49-4AAE-9300-913C0A7ECFBA}">
      <text>
        <r>
          <rPr>
            <b/>
            <sz val="9"/>
            <color indexed="81"/>
            <rFont val="Segoe UI"/>
            <family val="2"/>
          </rPr>
          <t>leer lassen für interaktive Erstellung des Mails mit Outlook</t>
        </r>
        <r>
          <rPr>
            <sz val="9"/>
            <color indexed="81"/>
            <rFont val="Segoe UI"/>
            <family val="2"/>
          </rPr>
          <t xml:space="preserve">
</t>
        </r>
      </text>
    </comment>
    <comment ref="E10" authorId="0" shapeId="0" xr:uid="{00000000-0006-0000-0000-000001000000}">
      <text>
        <r>
          <rPr>
            <b/>
            <sz val="9"/>
            <color indexed="81"/>
            <rFont val="Segoe UI"/>
            <family val="2"/>
          </rPr>
          <t>Keine Umlaute in QR-Code für Banken erlaubt !!</t>
        </r>
      </text>
    </comment>
  </commentList>
</comments>
</file>

<file path=xl/sharedStrings.xml><?xml version="1.0" encoding="utf-8"?>
<sst xmlns="http://schemas.openxmlformats.org/spreadsheetml/2006/main" count="182" uniqueCount="120">
  <si>
    <t>Mitgliedsbeitrag:</t>
  </si>
  <si>
    <t>Registrierung:</t>
  </si>
  <si>
    <t>Registrierung weitere K.:</t>
  </si>
  <si>
    <t>Einschreibgebühr:</t>
  </si>
  <si>
    <t>Pfadfinderkonto:</t>
  </si>
  <si>
    <t>lautend auf:</t>
  </si>
  <si>
    <t>Name</t>
  </si>
  <si>
    <t>Einschreib1</t>
  </si>
  <si>
    <t>Einschreib2</t>
  </si>
  <si>
    <t>Einschreib3</t>
  </si>
  <si>
    <t>Einschreib4</t>
  </si>
  <si>
    <t>Zahlen mit Code:</t>
  </si>
  <si>
    <t>Anrede</t>
  </si>
  <si>
    <t>Familie</t>
  </si>
  <si>
    <t>Herr</t>
  </si>
  <si>
    <t>Vielen Dank für die rasche Überweisung und Gut Pfad,</t>
  </si>
  <si>
    <t>Bank:</t>
  </si>
  <si>
    <t>Vorname1</t>
  </si>
  <si>
    <t>Vorname2</t>
  </si>
  <si>
    <t>Vorname3</t>
  </si>
  <si>
    <t>Vorname4</t>
  </si>
  <si>
    <t>Frau</t>
  </si>
  <si>
    <t>Ermäßigt1</t>
  </si>
  <si>
    <t>Ermäßigt2</t>
  </si>
  <si>
    <t>Ermäßigt3</t>
  </si>
  <si>
    <t>Ermäßigt4</t>
  </si>
  <si>
    <t>Mitgliedsbeitrag weitere K.:</t>
  </si>
  <si>
    <t>Anschrift:</t>
  </si>
  <si>
    <t>Bankverbindung:</t>
  </si>
  <si>
    <t>Nein</t>
  </si>
  <si>
    <t>E</t>
  </si>
  <si>
    <t>J</t>
  </si>
  <si>
    <t>Adresse:</t>
  </si>
  <si>
    <t>ZVR Zahl:</t>
  </si>
  <si>
    <t>www:</t>
  </si>
  <si>
    <t>Kopfname:</t>
  </si>
  <si>
    <t>Vorname5</t>
  </si>
  <si>
    <t>Einschreib5</t>
  </si>
  <si>
    <t>Ermäßigt5</t>
  </si>
  <si>
    <t>Vorname6</t>
  </si>
  <si>
    <t>Einschreib6</t>
  </si>
  <si>
    <t>Ermäßigt6</t>
  </si>
  <si>
    <t>C:\dev\PfadfinderSchreiben</t>
  </si>
  <si>
    <t>Muster</t>
  </si>
  <si>
    <t>Mustermann</t>
  </si>
  <si>
    <t>Musterfrau</t>
  </si>
  <si>
    <t>AT12345600000987654</t>
  </si>
  <si>
    <t>PPÖ Pfadfindergruppe Musterhausen</t>
  </si>
  <si>
    <t>Musterhausenbank</t>
  </si>
  <si>
    <t>9999 Musterhausen, Beispielplatz 1</t>
  </si>
  <si>
    <t>pfadfinder-musterhausen.at</t>
  </si>
  <si>
    <t>MIT</t>
  </si>
  <si>
    <t>ER</t>
  </si>
  <si>
    <t>ERO</t>
  </si>
  <si>
    <t>KASS</t>
  </si>
  <si>
    <t>SCHR</t>
  </si>
  <si>
    <t>MIT, REG</t>
  </si>
  <si>
    <t>Funktionen Erwachsene Mitglieder:</t>
  </si>
  <si>
    <t>Leiter aus iGRINS übernehmen (zahlen selbst)?</t>
  </si>
  <si>
    <t>Neuregistrierungen ab:</t>
  </si>
  <si>
    <t>Nicht importieren wenn "Ermäßigt" auf:</t>
  </si>
  <si>
    <t>P</t>
  </si>
  <si>
    <t>PWA</t>
  </si>
  <si>
    <t>Datenträger für QR-Code:</t>
  </si>
  <si>
    <t>Adresse</t>
  </si>
  <si>
    <t>Gruppierung beim Export nach:</t>
  </si>
  <si>
    <t>Max</t>
  </si>
  <si>
    <t>Erika</t>
  </si>
  <si>
    <t>Krethi</t>
  </si>
  <si>
    <t>Plethi</t>
  </si>
  <si>
    <t>Hinz</t>
  </si>
  <si>
    <t>Kunz</t>
  </si>
  <si>
    <t>Normalverbraucher</t>
  </si>
  <si>
    <t>Otto</t>
  </si>
  <si>
    <t>Möglich</t>
  </si>
  <si>
    <t>Pfadijahr beginnt:</t>
  </si>
  <si>
    <t>Musterstrasse 8/15, 
4711 Musterhausen</t>
  </si>
  <si>
    <t>Mustergasse 1/2, 
4711 Musterhausen</t>
  </si>
  <si>
    <t>Musterplatz 1, 
4711 Musterhausen</t>
  </si>
  <si>
    <t>Musterallee 7, 
4711 Musterhausen</t>
  </si>
  <si>
    <t>Musterhof 9, 
4711 Musterhausen</t>
  </si>
  <si>
    <t>max. Anzahl Mitglbeiträge</t>
  </si>
  <si>
    <t>Summe</t>
  </si>
  <si>
    <t>Strasse/Plz</t>
  </si>
  <si>
    <t>Nachregistrierung:</t>
  </si>
  <si>
    <t>=WENN([Vorname1]&lt;&gt;"";reg;0)+WENN([Vorname2]&lt;&gt;"";regweitere;0)+WENN([Vorname3]&lt;&gt;"";regweitere;0)+WENN([Vorname4]&lt;&gt;"";regweitere;0)+WENN([Vorname5]&lt;&gt;"";regweitere;0)+WENN([Vorname6]&lt;&gt;"";regweitere;0)+(WENN(UND([Vorname1]&lt;&gt;"";[Ermäßigt1]="");mitglbeitrag;0)+WENN(UND([Vorname2]&lt;&gt;"";[Ermäßigt2]="");mitglbeitragweitere;0))/teiler+WENN([Einschreib1]&lt;&gt;"";einschreibgeb;0)+WENN([Einschreib2]&lt;&gt;"";einschreibgeb;0)+WENN([Einschreib3]&lt;&gt;"";einschreibgeb;0)+WENN([Einschreib4]&lt;&gt;"";einschreibgeb;0)+WENN([Einschreib5]&lt;&gt;"";einschreibgeb;0)+WENN([Einschreib6]&lt;&gt;"";einschreibgeb;0)</t>
  </si>
  <si>
    <t>Email</t>
  </si>
  <si>
    <t>Telefon</t>
  </si>
  <si>
    <t>0999/999999999</t>
  </si>
  <si>
    <t>0111/111111111</t>
  </si>
  <si>
    <t>0222/222222222</t>
  </si>
  <si>
    <t>0333/333333333</t>
  </si>
  <si>
    <t>0444/444444444</t>
  </si>
  <si>
    <t>hinzkunz@muster.nix</t>
  </si>
  <si>
    <t>max@mustermann.nix</t>
  </si>
  <si>
    <t>erika@musterfrau.nix</t>
  </si>
  <si>
    <t>otto@normalverbraucher.nix</t>
  </si>
  <si>
    <t>krethiplethi@moeglich.nix</t>
  </si>
  <si>
    <t>Senderkonto passwort</t>
  </si>
  <si>
    <t>Gruppenname:</t>
  </si>
  <si>
    <t>Testmail:</t>
  </si>
  <si>
    <t>pfadis:</t>
  </si>
  <si>
    <t>Anz. Kinder:</t>
  </si>
  <si>
    <t>gedeckelt:</t>
  </si>
  <si>
    <t>Anz. Mitgl.:</t>
  </si>
  <si>
    <t>Anz. Einschr</t>
  </si>
  <si>
    <t>MBeitrSum:</t>
  </si>
  <si>
    <t>RegBeitrSum:</t>
  </si>
  <si>
    <t>EinschrSum:</t>
  </si>
  <si>
    <t>Gesamt:</t>
  </si>
  <si>
    <t>TeilerNachreg:</t>
  </si>
  <si>
    <t>GAB-Person-Export_2019-05-12.xls</t>
  </si>
  <si>
    <t>Gruppe Musterhausen</t>
  </si>
  <si>
    <t>Senderkonto@gmail.com</t>
  </si>
  <si>
    <t>CC Empfängeradresse</t>
  </si>
  <si>
    <t>Erinnerungsschreiben:</t>
  </si>
  <si>
    <t>testkonto@gibtsnicht.com</t>
  </si>
  <si>
    <t>Spalte1</t>
  </si>
  <si>
    <t>Ja</t>
  </si>
  <si>
    <t>Falls die Knöpfe nicht funktionieren, unter Datei/Informationen, Inhalt (Makros) aktivieren…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</si>
</sst>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rgb="FF000000"/>
      <name val="Calibri"/>
      <family val="2"/>
    </font>
    <font>
      <b/>
      <sz val="11"/>
      <color theme="1"/>
      <name val="Calibri"/>
      <family val="2"/>
      <scheme val="minor"/>
    </font>
    <font>
      <i/>
      <sz val="8"/>
      <color rgb="FF000000"/>
      <name val="Arial"/>
      <family val="2"/>
    </font>
    <font>
      <u/>
      <sz val="11"/>
      <color theme="10"/>
      <name val="Calibri"/>
      <family val="2"/>
      <scheme val="minor"/>
    </font>
    <font>
      <b/>
      <i/>
      <sz val="16"/>
      <color theme="1"/>
      <name val="Arial"/>
      <family val="2"/>
    </font>
    <font>
      <u/>
      <sz val="10"/>
      <color theme="10"/>
      <name val="Calibri"/>
      <family val="2"/>
      <scheme val="minor"/>
    </font>
    <font>
      <b/>
      <sz val="11"/>
      <color rgb="FFFF0000"/>
      <name val="Calibri"/>
      <family val="2"/>
      <scheme val="minor"/>
    </font>
    <font>
      <sz val="11"/>
      <color rgb="FFFF0000"/>
      <name val="Calibri"/>
      <family val="2"/>
      <scheme val="minor"/>
    </font>
    <font>
      <b/>
      <sz val="9"/>
      <color indexed="81"/>
      <name val="Segoe UI"/>
      <family val="2"/>
    </font>
    <font>
      <sz val="8"/>
      <color theme="1"/>
      <name val="Calibri"/>
      <family val="2"/>
      <scheme val="minor"/>
    </font>
    <font>
      <b/>
      <u/>
      <sz val="11"/>
      <color theme="1"/>
      <name val="Calibri"/>
      <family val="2"/>
      <scheme val="minor"/>
    </font>
    <font>
      <sz val="9"/>
      <color indexed="81"/>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5" tint="0.59999389629810485"/>
        <bgColor indexed="64"/>
      </patternFill>
    </fill>
  </fills>
  <borders count="1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
      <left/>
      <right style="thin">
        <color indexed="64"/>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52">
    <xf numFmtId="0" fontId="0" fillId="0" borderId="0" xfId="0"/>
    <xf numFmtId="0" fontId="0" fillId="0" borderId="0" xfId="0" applyAlignment="1">
      <alignment wrapText="1"/>
    </xf>
    <xf numFmtId="2" fontId="0" fillId="0" borderId="0" xfId="0" applyNumberFormat="1"/>
    <xf numFmtId="0" fontId="0" fillId="0" borderId="0" xfId="0" quotePrefix="1"/>
    <xf numFmtId="0" fontId="0" fillId="0" borderId="0" xfId="0" applyAlignment="1">
      <alignment horizontal="left" vertical="center" indent="1"/>
    </xf>
    <xf numFmtId="0" fontId="3" fillId="0" borderId="0" xfId="0" applyFont="1" applyAlignment="1">
      <alignment horizontal="left" vertical="center"/>
    </xf>
    <xf numFmtId="0" fontId="3" fillId="0" borderId="0" xfId="0" applyFont="1" applyAlignment="1">
      <alignment horizontal="right" vertical="center"/>
    </xf>
    <xf numFmtId="0" fontId="5" fillId="0" borderId="0" xfId="0" applyFont="1" applyAlignment="1">
      <alignment vertical="center"/>
    </xf>
    <xf numFmtId="0" fontId="2" fillId="0" borderId="0" xfId="0" applyFont="1"/>
    <xf numFmtId="0" fontId="6" fillId="0" borderId="0" xfId="1" applyFont="1" applyAlignment="1">
      <alignment horizontal="left" vertical="center"/>
    </xf>
    <xf numFmtId="0" fontId="0" fillId="2" borderId="0" xfId="0" applyFill="1"/>
    <xf numFmtId="0" fontId="7"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3" borderId="6" xfId="0" applyFill="1" applyBorder="1"/>
    <xf numFmtId="0" fontId="0" fillId="3" borderId="7" xfId="0" applyFill="1" applyBorder="1"/>
    <xf numFmtId="0" fontId="0" fillId="3" borderId="10" xfId="0" applyFill="1" applyBorder="1"/>
    <xf numFmtId="0" fontId="0" fillId="3" borderId="11" xfId="0" applyFill="1" applyBorder="1"/>
    <xf numFmtId="0" fontId="0" fillId="3" borderId="8" xfId="0" applyFill="1" applyBorder="1"/>
    <xf numFmtId="0" fontId="0" fillId="3" borderId="9" xfId="0" applyFill="1" applyBorder="1"/>
    <xf numFmtId="0" fontId="0" fillId="0" borderId="6" xfId="0" applyBorder="1"/>
    <xf numFmtId="0" fontId="0" fillId="0" borderId="7" xfId="0" applyBorder="1"/>
    <xf numFmtId="0" fontId="0" fillId="0" borderId="10" xfId="0" applyBorder="1"/>
    <xf numFmtId="0" fontId="0" fillId="0" borderId="11" xfId="0" applyBorder="1"/>
    <xf numFmtId="0" fontId="0" fillId="0" borderId="9" xfId="0" applyBorder="1"/>
    <xf numFmtId="0" fontId="8" fillId="0" borderId="0" xfId="0" applyFont="1"/>
    <xf numFmtId="0" fontId="0" fillId="4" borderId="0" xfId="0" applyFill="1"/>
    <xf numFmtId="0" fontId="0" fillId="0" borderId="0" xfId="0" applyAlignment="1">
      <alignment horizontal="left"/>
    </xf>
    <xf numFmtId="0" fontId="0" fillId="3" borderId="7" xfId="0" applyFill="1" applyBorder="1" applyAlignment="1">
      <alignment wrapText="1"/>
    </xf>
    <xf numFmtId="0" fontId="11" fillId="0" borderId="0" xfId="0" applyFont="1"/>
    <xf numFmtId="1" fontId="0" fillId="0" borderId="0" xfId="0" applyNumberFormat="1"/>
    <xf numFmtId="0" fontId="0" fillId="3" borderId="0" xfId="0" applyFill="1"/>
    <xf numFmtId="2" fontId="0" fillId="3" borderId="0" xfId="0" applyNumberFormat="1" applyFill="1"/>
    <xf numFmtId="0" fontId="0" fillId="3" borderId="4" xfId="0" applyFill="1" applyBorder="1"/>
    <xf numFmtId="0" fontId="0" fillId="3" borderId="5" xfId="0" applyFill="1" applyBorder="1"/>
    <xf numFmtId="14" fontId="0" fillId="0" borderId="0" xfId="0" applyNumberFormat="1"/>
    <xf numFmtId="0" fontId="10" fillId="0" borderId="0" xfId="0" applyFont="1" applyAlignment="1">
      <alignment wrapText="1"/>
    </xf>
    <xf numFmtId="0" fontId="0" fillId="2" borderId="15" xfId="0" applyFill="1" applyBorder="1"/>
    <xf numFmtId="0" fontId="0" fillId="2" borderId="16" xfId="0" applyFill="1" applyBorder="1" applyAlignment="1">
      <alignment wrapText="1"/>
    </xf>
    <xf numFmtId="0" fontId="0" fillId="3" borderId="0" xfId="0" applyFill="1" applyBorder="1"/>
    <xf numFmtId="0" fontId="0" fillId="0" borderId="0" xfId="0" applyBorder="1"/>
    <xf numFmtId="0" fontId="0" fillId="0" borderId="0" xfId="0" applyAlignment="1"/>
    <xf numFmtId="0" fontId="0" fillId="5" borderId="0" xfId="0" applyFill="1"/>
    <xf numFmtId="0" fontId="0" fillId="3" borderId="0" xfId="0" applyFill="1" applyBorder="1" applyAlignment="1">
      <alignment wrapText="1"/>
    </xf>
    <xf numFmtId="0" fontId="0" fillId="3" borderId="0" xfId="0" applyFill="1" applyAlignment="1">
      <alignment wrapText="1"/>
    </xf>
    <xf numFmtId="0" fontId="0" fillId="0" borderId="0" xfId="0" applyAlignment="1">
      <alignment horizontal="left" vertical="top" wrapText="1"/>
    </xf>
    <xf numFmtId="0" fontId="10" fillId="0" borderId="12" xfId="0" quotePrefix="1" applyFont="1" applyBorder="1" applyAlignment="1">
      <alignment horizontal="left" vertical="top" wrapText="1"/>
    </xf>
    <xf numFmtId="0" fontId="10" fillId="0" borderId="13" xfId="0" quotePrefix="1" applyFont="1" applyBorder="1" applyAlignment="1">
      <alignment horizontal="left" vertical="top" wrapText="1"/>
    </xf>
    <xf numFmtId="0" fontId="10" fillId="0" borderId="14" xfId="0" quotePrefix="1" applyFont="1" applyBorder="1" applyAlignment="1">
      <alignment horizontal="left" vertical="top" wrapText="1"/>
    </xf>
  </cellXfs>
  <cellStyles count="2">
    <cellStyle name="Link" xfId="1" builtinId="8"/>
    <cellStyle name="Standard" xfId="0" builtinId="0"/>
  </cellStyles>
  <dxfs count="15">
    <dxf>
      <numFmt numFmtId="0" formatCode="General"/>
    </dxf>
    <dxf>
      <numFmt numFmtId="2" formatCode="0.00"/>
    </dxf>
    <dxf>
      <border diagonalUp="0" diagonalDown="0">
        <left/>
        <right style="thin">
          <color indexed="64"/>
        </right>
        <vertic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border diagonalUp="0" diagonalDown="0">
        <left style="thin">
          <color indexed="64"/>
        </left>
        <right/>
        <top/>
        <bottom/>
        <vertical/>
        <horizontal/>
      </border>
    </dxf>
    <dxf>
      <border diagonalUp="0" diagonalDown="0">
        <left/>
        <right style="thin">
          <color indexed="64"/>
        </right>
        <top/>
        <bottom/>
        <vertical/>
        <horizontal/>
      </border>
    </dxf>
    <dxf>
      <alignment horizontal="general"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4"/>
      <tableStyleElement type="headerRow"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file:///C:\AllSync\Elternrat\Schriftf&#252;hrung\Jahresgeb&#252;hr\excel_temp.png"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1</xdr:row>
          <xdr:rowOff>28575</xdr:rowOff>
        </xdr:from>
        <xdr:to>
          <xdr:col>5</xdr:col>
          <xdr:colOff>438150</xdr:colOff>
          <xdr:row>1</xdr:row>
          <xdr:rowOff>238125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xdr:row>
          <xdr:rowOff>47625</xdr:rowOff>
        </xdr:from>
        <xdr:to>
          <xdr:col>4</xdr:col>
          <xdr:colOff>723900</xdr:colOff>
          <xdr:row>1</xdr:row>
          <xdr:rowOff>238125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zurück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276225</xdr:rowOff>
        </xdr:from>
        <xdr:to>
          <xdr:col>5</xdr:col>
          <xdr:colOff>438150</xdr:colOff>
          <xdr:row>1</xdr:row>
          <xdr:rowOff>514350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drucken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361950</xdr:colOff>
          <xdr:row>0</xdr:row>
          <xdr:rowOff>47625</xdr:rowOff>
        </xdr:from>
        <xdr:to>
          <xdr:col>3</xdr:col>
          <xdr:colOff>904875</xdr:colOff>
          <xdr:row>1</xdr:row>
          <xdr:rowOff>190500</xdr:rowOff>
        </xdr:to>
        <xdr:sp macro="" textlink="">
          <xdr:nvSpPr>
            <xdr:cNvPr id="1030" name="Object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a:alpha val="0"/>
              </a:srgbClr>
            </a:solidFill>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542925</xdr:rowOff>
        </xdr:from>
        <xdr:to>
          <xdr:col>5</xdr:col>
          <xdr:colOff>438150</xdr:colOff>
          <xdr:row>1</xdr:row>
          <xdr:rowOff>781050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PDF &amp; vor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xdr:row>
          <xdr:rowOff>800100</xdr:rowOff>
        </xdr:from>
        <xdr:to>
          <xdr:col>5</xdr:col>
          <xdr:colOff>438150</xdr:colOff>
          <xdr:row>1</xdr:row>
          <xdr:rowOff>1000125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Mail &amp; vor</a:t>
              </a:r>
            </a:p>
          </xdr:txBody>
        </xdr:sp>
        <xdr:clientData fPrintsWithSheet="0"/>
      </xdr:twoCellAnchor>
    </mc:Choice>
    <mc:Fallback/>
  </mc:AlternateContent>
  <xdr:twoCellAnchor>
    <xdr:from>
      <xdr:col>0</xdr:col>
      <xdr:colOff>0</xdr:colOff>
      <xdr:row>25</xdr:row>
      <xdr:rowOff>0</xdr:rowOff>
    </xdr:from>
    <xdr:to>
      <xdr:col>0</xdr:col>
      <xdr:colOff>1460468</xdr:colOff>
      <xdr:row>26</xdr:row>
      <xdr:rowOff>0</xdr:rowOff>
    </xdr:to>
    <xdr:pic>
      <xdr:nvPicPr>
        <xdr:cNvPr id="7" name="QRCODE_ZAHLUNG">
          <a:extLst>
            <a:ext uri="{FF2B5EF4-FFF2-40B4-BE49-F238E27FC236}">
              <a16:creationId xmlns:a16="http://schemas.microsoft.com/office/drawing/2014/main" id="{B93972AC-1969-4C98-9D23-246E516BAD78}"/>
            </a:ext>
          </a:extLst>
        </xdr:cNvPr>
        <xdr:cNvPicPr>
          <a:picLocks noChangeAspect="1"/>
        </xdr:cNvPicPr>
      </xdr:nvPicPr>
      <xdr:blipFill>
        <a:blip xmlns:r="http://schemas.openxmlformats.org/officeDocument/2006/relationships" r:link="rId1"/>
        <a:stretch>
          <a:fillRect/>
        </a:stretch>
      </xdr:blipFill>
      <xdr:spPr>
        <a:xfrm>
          <a:off x="0" y="8058150"/>
          <a:ext cx="1460468" cy="1457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19050</xdr:colOff>
          <xdr:row>0</xdr:row>
          <xdr:rowOff>0</xdr:rowOff>
        </xdr:from>
        <xdr:to>
          <xdr:col>27</xdr:col>
          <xdr:colOff>28575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iGrins Exportdatei übernehmen: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19050</xdr:colOff>
          <xdr:row>20</xdr:row>
          <xdr:rowOff>0</xdr:rowOff>
        </xdr:from>
        <xdr:to>
          <xdr:col>27</xdr:col>
          <xdr:colOff>161925</xdr:colOff>
          <xdr:row>21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Schreiben in github Ordner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e" displayName="Liste" ref="A1:Y70" totalsRowShown="0">
  <sortState xmlns:xlrd2="http://schemas.microsoft.com/office/spreadsheetml/2017/richdata2" ref="A2:X70">
    <sortCondition ref="B2"/>
  </sortState>
  <tableColumns count="25">
    <tableColumn id="1" xr3:uid="{00000000-0010-0000-0000-000001000000}" name="Anrede"/>
    <tableColumn id="2" xr3:uid="{00000000-0010-0000-0000-000002000000}" name="Name"/>
    <tableColumn id="24" xr3:uid="{F6A27F1E-F13E-4412-96D2-EF782652BB2A}" name="Telefon"/>
    <tableColumn id="23" xr3:uid="{0DA0FD0B-AD24-4634-B406-E82086E77474}" name="Email"/>
    <tableColumn id="21" xr3:uid="{00000000-0010-0000-0000-000015000000}" name="Adresse" dataDxfId="12"/>
    <tableColumn id="3" xr3:uid="{00000000-0010-0000-0000-000003000000}" name="Vorname1"/>
    <tableColumn id="4" xr3:uid="{00000000-0010-0000-0000-000004000000}" name="Einschreib1"/>
    <tableColumn id="12" xr3:uid="{00000000-0010-0000-0000-00000C000000}" name="Ermäßigt1" dataDxfId="11"/>
    <tableColumn id="5" xr3:uid="{00000000-0010-0000-0000-000005000000}" name="Vorname2" dataDxfId="10"/>
    <tableColumn id="6" xr3:uid="{00000000-0010-0000-0000-000006000000}" name="Einschreib2"/>
    <tableColumn id="13" xr3:uid="{00000000-0010-0000-0000-00000D000000}" name="Ermäßigt2" dataDxfId="9"/>
    <tableColumn id="7" xr3:uid="{00000000-0010-0000-0000-000007000000}" name="Vorname3" dataDxfId="8"/>
    <tableColumn id="8" xr3:uid="{00000000-0010-0000-0000-000008000000}" name="Einschreib3"/>
    <tableColumn id="14" xr3:uid="{00000000-0010-0000-0000-00000E000000}" name="Ermäßigt3" dataDxfId="7"/>
    <tableColumn id="9" xr3:uid="{00000000-0010-0000-0000-000009000000}" name="Vorname4" dataDxfId="6"/>
    <tableColumn id="10" xr3:uid="{00000000-0010-0000-0000-00000A000000}" name="Einschreib4"/>
    <tableColumn id="15" xr3:uid="{00000000-0010-0000-0000-00000F000000}" name="Ermäßigt4" dataDxfId="5"/>
    <tableColumn id="11" xr3:uid="{00000000-0010-0000-0000-00000B000000}" name="Vorname5" dataDxfId="4"/>
    <tableColumn id="16" xr3:uid="{00000000-0010-0000-0000-000010000000}" name="Einschreib5"/>
    <tableColumn id="17" xr3:uid="{00000000-0010-0000-0000-000011000000}" name="Ermäßigt5" dataDxfId="3"/>
    <tableColumn id="18" xr3:uid="{00000000-0010-0000-0000-000012000000}" name="Vorname6"/>
    <tableColumn id="19" xr3:uid="{00000000-0010-0000-0000-000013000000}" name="Einschreib6"/>
    <tableColumn id="20" xr3:uid="{00000000-0010-0000-0000-000014000000}" name="Ermäßigt6" dataDxfId="2"/>
    <tableColumn id="22" xr3:uid="{00000000-0010-0000-0000-000016000000}" name="Summe" dataDxfId="1"/>
    <tableColumn id="25" xr3:uid="{8FF0A032-EB32-455F-8046-09809BC7D491}" name="Spalte1" dataDxfId="0">
      <calculatedColumnFormula>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omments" Target="../comments1.xml"/><Relationship Id="rId5" Type="http://schemas.openxmlformats.org/officeDocument/2006/relationships/image" Target="../media/image1.w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31"/>
  <sheetViews>
    <sheetView tabSelected="1" zoomScale="85" zoomScaleNormal="85" zoomScaleSheetLayoutView="85" workbookViewId="0">
      <selection activeCell="H3" sqref="H3"/>
    </sheetView>
  </sheetViews>
  <sheetFormatPr baseColWidth="10" defaultRowHeight="15" x14ac:dyDescent="0.25"/>
  <cols>
    <col min="1" max="1" width="33" customWidth="1"/>
    <col min="2" max="2" width="24.5703125" customWidth="1"/>
    <col min="3" max="3" width="22.5703125" customWidth="1"/>
    <col min="4" max="4" width="17.5703125" customWidth="1"/>
    <col min="5" max="5" width="14.5703125" customWidth="1"/>
    <col min="6" max="6" width="11.42578125" customWidth="1"/>
    <col min="8" max="8" width="57.42578125" customWidth="1"/>
  </cols>
  <sheetData>
    <row r="1" spans="1:10" ht="31.5" customHeight="1" x14ac:dyDescent="0.25">
      <c r="A1" s="7" t="str">
        <f>kopfname</f>
        <v>Gruppe Musterhausen</v>
      </c>
      <c r="B1" s="2"/>
      <c r="E1">
        <v>1</v>
      </c>
      <c r="H1" s="45" t="s">
        <v>113</v>
      </c>
      <c r="I1" s="45" t="s">
        <v>98</v>
      </c>
      <c r="J1" s="45" t="s">
        <v>116</v>
      </c>
    </row>
    <row r="2" spans="1:10" ht="80.25" customHeight="1" x14ac:dyDescent="0.25">
      <c r="A2" s="30" t="str">
        <f>IF(INDEX(Liste[Anrede],zeilenindex)="Familie","Familie "&amp;INDEX(Liste[Name],zeilenindex),INDEX(Liste[Anrede],zeilenindex)&amp;" "&amp;INDEX(Liste[Name],zeilenindex)&amp;" "&amp;INDEX(Liste[Vorname1],zeilenindex))</f>
        <v>Familie Muster</v>
      </c>
      <c r="B2" s="2"/>
      <c r="F2" s="11"/>
      <c r="H2" s="39" t="str">
        <f ca="1">"mailsend-go.exe -smtp smtp.gmail.com -port 465 -ssl auth -user "&amp;mailuser&amp;" -pass "&amp;mailpwd&amp;" -f "&amp;mailuser&amp;" -to "&amp;recipient&amp;" -sub """&amp;subject&amp;""" body -msg """&amp;bodymsg&amp;""" attach -file Mitgliedsbeitragsbrief"&amp;zeilenindex&amp;".pdf -mime-type pdf"</f>
        <v>mailsend-go.exe -smtp smtp.gmail.com -port 465 -ssl auth -user Senderkonto@gmail.com -pass Senderkonto passwort -f Senderkonto@gmail.com -to hinzkunz@muster.nix -sub "Mitgliedsbeitrag 2018/19" body -msg "Liebe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 attach -file Mitgliedsbeitragsbrief1.pdf -mime-type pdf</v>
      </c>
      <c r="I2" s="45" t="s">
        <v>114</v>
      </c>
    </row>
    <row r="3" spans="1:10" ht="30.75" customHeight="1" x14ac:dyDescent="0.25">
      <c r="A3" s="1" t="str">
        <f>INDEX(Liste[Adresse],zeilenindex)</f>
        <v>Musterstrasse 8/15, 
4711 Musterhausen</v>
      </c>
      <c r="B3" s="2"/>
      <c r="E3" t="str">
        <f>IF(testmail="Ja",testkonto,INDEX(Liste[Email],zeilenindex))</f>
        <v>hinzkunz@muster.nix</v>
      </c>
      <c r="H3" s="1" t="str">
        <f>anrede&amp;","&amp;CHAR(10)&amp;IF(Erinnerung="Nein",J3,I3)&amp;CHAR(10)&amp;"Liebe Grüße,"&amp;CHAR(10)&amp;"Eure Elternräte und Gruppenleiter."</f>
        <v>Liebe Familie Muster,
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
Liebe Grüße,
Eure Elternräte und Gruppenleiter.</v>
      </c>
      <c r="I3" t="str">
        <f>"wir vermissen "&amp;IF(INDEX(Liste[Anrede],zeilenindex)="Familie","Euren","Deinen")&amp;" Mitgliedsbeitrag, eventuell "&amp;IF(INDEX(Liste[Anrede],zeilenindex)="Familie","habt Ihr","hast Du")&amp;" unseren Brief nicht bekommen oder vergessen einzuzahlen."&amp;CHAR(10)&amp;"Der Verein finanziert die Ausgaben für die Pfadfinder zum Großteil über die Mitgliedsbeiträge, daher ist eine vollständige Einzahlung aller Beiträge sehr wichtig. Beiliegend nochmal der Mitgliedsbeitragsbrief für "&amp;IF(INDEX(Liste[Anrede],zeilenindex)="Familie",pfadis,"Dich")&amp;"."&amp;CHAR(10)&amp;"Nach den Satzungen der Gruppe Gablitz ist keine Registrierung beim Landesverband vorgesehen (Versicherung, Lagerteilnahme!), wenn der Mitgliedsbeitrag nicht einbezahlt wird."&amp;CHAR(10)&amp;"Außerdem wird die Mitgliedschaft am Ende des Pfadijahres beendet."</f>
        <v>wir vermissen Euren Mitgliedsbeitrag, eventuell habt Ihr unseren Brief nicht bekommen oder vergessen einzuzahlen.
Der Verein finanziert die Ausgaben für die Pfadfinder zum Großteil über die Mitgliedsbeiträge, daher ist eine vollständige Einzahlung aller Beiträge sehr wichtig. Beiliegend nochmal der Mitgliedsbeitragsbrief für Hinz und Kunz.
Nach den Satzungen der Gruppe Gablitz ist keine Registrierung beim Landesverband vorgesehen (Versicherung, Lagerteilnahme!), wenn der Mitgliedsbeitrag nicht einbezahlt wird.
Außerdem wird die Mitgliedschaft am Ende des Pfadijahres beendet.</v>
      </c>
      <c r="J3" t="str">
        <f>"anbei der Mitgliedsbeitragsbrief für "&amp;IF(INDEX(Liste[Anrede],zeilenindex)="Familie",pfadis,"Dich")&amp;"."</f>
        <v>anbei der Mitgliedsbeitragsbrief für Hinz und Kunz.</v>
      </c>
    </row>
    <row r="4" spans="1:10" x14ac:dyDescent="0.25">
      <c r="B4" s="2"/>
      <c r="E4" t="str">
        <f>"Liebe"&amp;IF(INDEX(Liste[Anrede],zeilenindex)="Herr","r "&amp;INDEX(Liste[Vorname1],zeilenindex),IF(INDEX(Liste[Anrede],zeilenindex)="Frau"," "&amp;INDEX(Liste[Vorname1],zeilenindex)," "&amp;INDEX(Liste[Anrede],zeilenindex)&amp;" "&amp;INDEX(Liste[Name],zeilenindex)))</f>
        <v>Liebe Familie Muster</v>
      </c>
      <c r="H4" s="11" t="s">
        <v>119</v>
      </c>
    </row>
    <row r="5" spans="1:10" x14ac:dyDescent="0.25">
      <c r="B5" s="2"/>
      <c r="E5" t="str">
        <f>INDEX(Liste[Name],zeilenindex)&amp;INDEX(Liste[Vorname1],zeilenindex)&amp;INDEX(Liste[Vorname2],zeilenindex)&amp;INDEX(Liste[Vorname3],zeilenindex)&amp;INDEX(Liste[Vorname4],zeilenindex)&amp;INDEX(Liste[Vorname5],zeilenindex)&amp;INDEX(Liste[Vorname6],zeilenindex)</f>
        <v>MusterHinzKunz</v>
      </c>
    </row>
    <row r="6" spans="1:10" x14ac:dyDescent="0.25">
      <c r="A6" s="8" t="str">
        <f>"Pfadfinder "&amp;kopfname&amp;", "&amp;adresse</f>
        <v>Pfadfinder Gruppe Musterhausen, 9999 Musterhausen, Beispielplatz 1</v>
      </c>
      <c r="B6" s="2"/>
      <c r="E6" t="s">
        <v>84</v>
      </c>
      <c r="G6" s="40" t="s">
        <v>29</v>
      </c>
    </row>
    <row r="7" spans="1:10" x14ac:dyDescent="0.25">
      <c r="A7" s="8" t="str">
        <f ca="1">"Mitgliedsbeitrag "&amp;AufnahmeJahr&amp;"/"&amp;RIGHT(AufnahmeJahr+1,2)</f>
        <v>Mitgliedsbeitrag 2018/19</v>
      </c>
      <c r="B7" s="2"/>
      <c r="E7" t="s">
        <v>100</v>
      </c>
      <c r="G7" s="41" t="s">
        <v>29</v>
      </c>
    </row>
    <row r="8" spans="1:10" ht="33" customHeight="1" x14ac:dyDescent="0.25">
      <c r="A8" t="str">
        <f>anrede&amp;"!"</f>
        <v>Liebe Familie Muster!</v>
      </c>
      <c r="B8" s="2"/>
      <c r="E8" t="s">
        <v>115</v>
      </c>
      <c r="G8" s="40" t="s">
        <v>118</v>
      </c>
    </row>
    <row r="9" spans="1:10" x14ac:dyDescent="0.25">
      <c r="E9" t="s">
        <v>63</v>
      </c>
    </row>
    <row r="10" spans="1:10" ht="150" customHeight="1" x14ac:dyDescent="0.25">
      <c r="A10" s="48" t="str">
        <f>"Die Pfadfindergruppe "&amp;kopfname&amp;" ist für ihre Gruppenaktivitäten auf die finanzielle Unterstützung durch "&amp;IF(INDEX(Liste[Anrede],zeilenindex)="Familie","Euren","Deinen")&amp;" Mitgliedsbeitrag angewiesen. Der Mitgliedsbeitrag besteht aus einem Verbandsbeitrag (Registrierbeitrag), den wir an die niederösterr."&amp;" Pfadfinder und Pfadfinderinnen abführen und der auch eine Haftpflicht- und Unfallversicherung beinhaltet, sowie dem vom Elternrat festgesetzten Gruppenbeitrag."&amp;"
Die Beiträge für Familien mit mehreren Mitgliedern (Kinder/Mitarbeiter) sind ab dem zweiten Mitglied halbiert (ab dem driten Kind wird kein Gruppenbeitrag mehr eingehoben), für Mitarbeiter und Elternrat wird nur der  Verbandsbeitrag eingehoben."&amp;"
Es ergeben sich somit folgende Mitgliedsbeiträge (Gruppenbeitrag unverändert, Verbandsbeiträge 1€/50ct erhöht):"</f>
        <v>Die Pfadfindergruppe Gruppe Musterhausen ist für ihre Gruppenaktivitäten auf die finanzielle Unterstützung durch Euren Mitgliedsbeitrag angewiesen. Der Mitgliedsbeitrag besteht aus einem Verbandsbeitrag (Registrierbeitrag), den wir an die niederösterr. Pfadfinder und Pfadfinderinnen abführen und der auch eine Haftpflicht- und Unfallversicherung beinhaltet, sowie dem vom Elternrat festgesetzten Gruppenbeitrag.
Die Beiträge für Familien mit mehreren Mitgliedern (Kinder/Mitarbeiter) sind ab dem zweiten Mitglied halbiert (ab dem driten Kind wird kein Gruppenbeitrag mehr eingehoben), für Mitarbeiter und Elternrat wird nur der  Verbandsbeitrag eingehoben.
Es ergeben sich somit folgende Mitgliedsbeiträge (Gruppenbeitrag unverändert, Verbandsbeiträge 1€/50ct erhöht):</v>
      </c>
      <c r="B10" s="48"/>
      <c r="C10" s="48"/>
      <c r="D10" s="48"/>
      <c r="E10" s="49" t="str">
        <f ca="1">SUBSTITUTE(SUBSTITUTE(SUBSTITUTE(SUBSTITUTE(SUBSTITUTE(SUBSTITUTE(SUBSTITUTE("BCD"&amp;CHAR(10)&amp;"002"&amp;CHAR(10)&amp;"1"&amp;CHAR(10)&amp;"SCT"&amp;CHAR(10)&amp;CHAR(10)&amp;lautend_auf&amp;CHAR(10)&amp;konto&amp;CHAR(10)&amp;"EUR"&amp;SUBSTITUTE(gebührgesamt,",",".")&amp;CHAR(10)&amp;CHAR(10)&amp;referenz&amp;RIGHT(AufnahmeJahr,2)&amp;"/"&amp;RIGHT(AufnahmeJahr,2)+1&amp;CHAR(10)&amp;CHAR(10)&amp;zustext,"ü","ue"),"ö","oe"),"ä","ae"),"Ü","Ue"),"Ö","Oe"),"Ä","Ae"),"ß","ss")</f>
        <v>BCD
002
1
SCT
PPOe Pfadfindergruppe Musterhausen
AT12345600000987654
EUR199.5
MusterHinzKunz18/19
Verband: 44,5;Gruppe:105;Einschreib:50</v>
      </c>
      <c r="F10" s="50"/>
      <c r="G10" s="51"/>
    </row>
    <row r="11" spans="1:10" x14ac:dyDescent="0.25">
      <c r="A11" t="str">
        <f>"für das 1. Mitglied: € "&amp;TEXT(mitglbeitrag+reg,"0,00")&amp;" (Verbandsbeitrag: "&amp;TEXT(reg,"0,00")&amp;"; Gruppenbeitrag: "&amp;TEXT(mitglbeitrag,"0,00")&amp;")"</f>
        <v>für das 1. Mitglied: € 98,00 (Verbandsbeitrag: 28,00; Gruppenbeitrag: 70,00)</v>
      </c>
      <c r="E11" t="s">
        <v>101</v>
      </c>
      <c r="F11" t="str">
        <f>INDEX(Liste[Vorname1],zeilenindex)&amp;IF(INDEX(Liste[Vorname2],zeilenindex)&lt;&gt;""," und "&amp;INDEX(Liste[Vorname2],zeilenindex),"")&amp;IF(INDEX(Liste[Vorname3],zeilenindex)&lt;&gt;""," und "&amp;INDEX(Liste[Vorname3],zeilenindex),"")&amp;IF(INDEX(Liste[Vorname4],zeilenindex)&lt;&gt;""," und "&amp;INDEX(Liste[Vorname4],zeilenindex),"")&amp;IF(INDEX(Liste[Vorname5],zeilenindex)&lt;&gt;""," und "&amp;INDEX(Liste[Vorname5],zeilenindex),"")&amp;IF(INDEX(Liste[Vorname6],zeilenindex)&lt;&gt;""," und "&amp;INDEX(Liste[Vorname6],zeilenindex),"")</f>
        <v>Hinz und Kunz</v>
      </c>
    </row>
    <row r="12" spans="1:10" x14ac:dyDescent="0.25">
      <c r="A12" t="str">
        <f>"für das 2. Mitglied: € "&amp;TEXT(mitglbeitragweitere+regweitere,"0,00")&amp;" (Verbandsbeitrag: "&amp;TEXT(regweitere,"0,00")&amp;"; Gruppenbeitrag: "&amp;TEXT(mitglbeitragweitere,"0,00")&amp;")"</f>
        <v>für das 2. Mitglied: € 51,50 (Verbandsbeitrag: 16,50; Gruppenbeitrag: 35,00)</v>
      </c>
      <c r="E12" t="s">
        <v>102</v>
      </c>
      <c r="F12">
        <f>IF(AND(INDEX(Liste[Vorname1],zeilenindex)&lt;&gt;"",INDEX(Liste[Ermäßigt1],zeilenindex)=""),1,0)+IF(AND(INDEX(Liste[Vorname2],zeilenindex)&lt;&gt;"",INDEX(Liste[Ermäßigt2],zeilenindex)=""),1,0)+IF(AND(INDEX(Liste[Vorname3],zeilenindex)&lt;&gt;"",INDEX(Liste[Ermäßigt3],zeilenindex)=""),1,0)+IF(AND(INDEX(Liste[Vorname4],zeilenindex)&lt;&gt;"",INDEX(Liste[Ermäßigt4],zeilenindex)=""),1,0)+IF(AND(INDEX(Liste[Vorname5],zeilenindex)&lt;&gt;"",INDEX(Liste[Ermäßigt5],zeilenindex)=""),1,0)+IF(AND(INDEX(Liste[Vorname6],zeilenindex)&lt;&gt;"",INDEX(Liste[Ermäßigt6],zeilenindex)=""),1,0)</f>
        <v>2</v>
      </c>
    </row>
    <row r="13" spans="1:10" x14ac:dyDescent="0.25">
      <c r="A13" t="str">
        <f>"für das 3. Mitglied und alle weiteren: nur mehr den Verbandsbeitrag: € "&amp;TEXT(regweitere,"0,00")</f>
        <v>für das 3. Mitglied und alle weiteren: nur mehr den Verbandsbeitrag: € 16,50</v>
      </c>
      <c r="E13" t="s">
        <v>103</v>
      </c>
      <c r="F13">
        <f>MIN(vorAnzahlKinder,maxAnzahlMglBtr)</f>
        <v>2</v>
      </c>
    </row>
    <row r="14" spans="1:10" x14ac:dyDescent="0.25">
      <c r="A14" t="str">
        <f>"Zum Eintritt wird auch eine einmalige Einschreibgebühr von € "&amp;TEXT(einschreibgeb,"0,00")&amp;" eingehoben (2017 um 5 € erhöht)."</f>
        <v>Zum Eintritt wird auch eine einmalige Einschreibgebühr von € 25,00 eingehoben (2017 um 5 € erhöht).</v>
      </c>
      <c r="E14" t="s">
        <v>104</v>
      </c>
      <c r="F14">
        <f>IF(INDEX(Liste[Vorname1],zeilenindex)&lt;&gt;"",1,0)+IF(INDEX(Liste[Vorname2],zeilenindex)&lt;&gt;"",1,0)+IF(INDEX(Liste[Vorname3],zeilenindex)&lt;&gt;"",1,0)+IF(INDEX(Liste[Vorname4],zeilenindex)&lt;&gt;"",1,0)+IF(INDEX(Liste[Vorname5],zeilenindex)&lt;&gt;"",1,0)+IF(INDEX(Liste[Vorname6],zeilenindex)&lt;&gt;"",1,0)</f>
        <v>2</v>
      </c>
    </row>
    <row r="15" spans="1:10" x14ac:dyDescent="0.25">
      <c r="E15" t="s">
        <v>105</v>
      </c>
      <c r="F15">
        <f>IF(INDEX(Liste[Einschreib1],zeilenindex)&lt;&gt;"",1,0)+IF(INDEX(Liste[Einschreib2],zeilenindex)&lt;&gt;"",1,0)+IF(INDEX(Liste[Einschreib3],zeilenindex)&lt;&gt;"",1,0)+IF(INDEX(Liste[Einschreib4],zeilenindex)&lt;&gt;"",1,0)+IF(INDEX(Liste[Einschreib5],zeilenindex)&lt;&gt;"",1,0)+IF(INDEX(Liste[Einschreib6],zeilenindex)&lt;&gt;"",1,0)</f>
        <v>2</v>
      </c>
    </row>
    <row r="16" spans="1:10" x14ac:dyDescent="0.25">
      <c r="A16" s="32" t="str">
        <f>"Der gesamte zu zahlende Betrag für "&amp;IF(INDEX(Liste[Anrede],zeilenindex)="Familie",pfadis,"Dich")&amp;" ist somit: € "&amp;TEXT(gebührgesamt,"0,00")</f>
        <v>Der gesamte zu zahlende Betrag für Hinz und Kunz ist somit: € 199,50</v>
      </c>
      <c r="E16" t="s">
        <v>110</v>
      </c>
      <c r="F16">
        <f>IF(nachreg="Ja",2,1)</f>
        <v>1</v>
      </c>
    </row>
    <row r="17" spans="1:6" x14ac:dyDescent="0.25">
      <c r="A17" t="str">
        <f>"(Verbandsbeiträge "&amp;TEXT(regsumme,"0,00")&amp;"; Gruppenbeiträge "&amp;TEXT(mglbeitragsumme,"0,00")&amp;IF(anzEinschreib&gt;0,"; Einschreibgebühren "&amp;TEXT(einschreibsumme,"0,00"),"")&amp;")"</f>
        <v>(Verbandsbeiträge 44,50; Gruppenbeiträge 105,00; Einschreibgebühren 50,00)</v>
      </c>
      <c r="E17" t="s">
        <v>106</v>
      </c>
      <c r="F17">
        <f>IF(anzKinder&gt;0,mitglbeitrag+mitglbeitragweitere*(anzKinder-1),0)/teiler</f>
        <v>105</v>
      </c>
    </row>
    <row r="18" spans="1:6" x14ac:dyDescent="0.25">
      <c r="E18" t="s">
        <v>107</v>
      </c>
      <c r="F18">
        <f>IF(anzMitgl&gt;0,reg+regweitere*(anzMitgl-1),0)</f>
        <v>44.5</v>
      </c>
    </row>
    <row r="19" spans="1:6" x14ac:dyDescent="0.25">
      <c r="A19" t="str">
        <f>"Bitte obigen Betrag auf das Konto "&amp;konto&amp;" bei der "&amp;bank&amp;","</f>
        <v>Bitte obigen Betrag auf das Konto AT12345600000987654 bei der Musterhausenbank,</v>
      </c>
      <c r="E19" t="s">
        <v>108</v>
      </c>
      <c r="F19">
        <f>einschreibgeb*anzEinschreib</f>
        <v>50</v>
      </c>
    </row>
    <row r="20" spans="1:6" x14ac:dyDescent="0.25">
      <c r="A20" t="str">
        <f>"lautend auf """&amp;lautend_auf&amp;""" überweisen."</f>
        <v>lautend auf "PPÖ Pfadfindergruppe Musterhausen" überweisen.</v>
      </c>
      <c r="E20" t="s">
        <v>109</v>
      </c>
      <c r="F20">
        <f>mglbeitragsumme+regsumme+einschreibsumme</f>
        <v>199.5</v>
      </c>
    </row>
    <row r="21" spans="1:6" x14ac:dyDescent="0.25">
      <c r="A21" t="str">
        <f ca="1">"Als Verwendungszweck bitte "&amp;referenz&amp;RIGHT(AufnahmeJahr,2)&amp;"/"&amp;RIGHT(AufnahmeJahr,2)+1&amp;" angeben."</f>
        <v>Als Verwendungszweck bitte MusterHinzKunz18/19 angeben.</v>
      </c>
      <c r="E21" s="3" t="str">
        <f>"Verband: "&amp;regsumme&amp;";Gruppe:"&amp;mglbeitragsumme&amp;IF(einschreibsumme&gt;0,";Einschreib:"&amp;einschreibsumme,"")</f>
        <v>Verband: 44,5;Gruppe:105;Einschreib:50</v>
      </c>
    </row>
    <row r="23" spans="1:6" x14ac:dyDescent="0.25">
      <c r="A23" t="s">
        <v>15</v>
      </c>
    </row>
    <row r="24" spans="1:6" x14ac:dyDescent="0.25">
      <c r="A24" t="str">
        <f>IF(INDEX(Liste[Anrede],zeilenindex)="Familie","Eure ","Deine ")&amp;"Gruppenleiter und Mitglieder des Elternrats"</f>
        <v>Eure Gruppenleiter und Mitglieder des Elternrats</v>
      </c>
    </row>
    <row r="25" spans="1:6" ht="24" customHeight="1" x14ac:dyDescent="0.25">
      <c r="A25" t="s">
        <v>11</v>
      </c>
    </row>
    <row r="26" spans="1:6" ht="114.75" customHeight="1" x14ac:dyDescent="0.25"/>
    <row r="27" spans="1:6" ht="19.5" customHeight="1" x14ac:dyDescent="0.25"/>
    <row r="28" spans="1:6" x14ac:dyDescent="0.25">
      <c r="A28" s="5" t="s">
        <v>27</v>
      </c>
      <c r="D28" s="6" t="s">
        <v>28</v>
      </c>
    </row>
    <row r="29" spans="1:6" x14ac:dyDescent="0.25">
      <c r="A29" s="5" t="str">
        <f>adresse</f>
        <v>9999 Musterhausen, Beispielplatz 1</v>
      </c>
      <c r="D29" s="6" t="str">
        <f>bank</f>
        <v>Musterhausenbank</v>
      </c>
    </row>
    <row r="30" spans="1:6" x14ac:dyDescent="0.25">
      <c r="A30" s="5" t="str">
        <f>"ZVR-Zahl: "&amp;zvrzahl</f>
        <v>ZVR-Zahl: 123456789</v>
      </c>
      <c r="D30" s="6" t="str">
        <f>konto</f>
        <v>AT12345600000987654</v>
      </c>
    </row>
    <row r="31" spans="1:6" x14ac:dyDescent="0.25">
      <c r="A31" s="9" t="str">
        <f>www</f>
        <v>pfadfinder-musterhausen.at</v>
      </c>
      <c r="C31" s="4"/>
      <c r="D31" s="6" t="str">
        <f>"ltd. auf "&amp;lautend_auf</f>
        <v>ltd. auf PPÖ Pfadfindergruppe Musterhausen</v>
      </c>
    </row>
  </sheetData>
  <dataConsolidate/>
  <mergeCells count="2">
    <mergeCell ref="A10:D10"/>
    <mergeCell ref="E10:G10"/>
  </mergeCells>
  <dataValidations count="1">
    <dataValidation type="list" allowBlank="1" showInputMessage="1" showErrorMessage="1" sqref="G7 G8 G6" xr:uid="{00000000-0002-0000-0000-000000000000}">
      <formula1>"Ja,Nein"</formula1>
    </dataValidation>
  </dataValidations>
  <pageMargins left="0.7" right="0.7" top="0.78740157499999996" bottom="0.78740157499999996" header="0.3" footer="0.3"/>
  <pageSetup paperSize="9" scale="89" orientation="portrait" r:id="rId1"/>
  <drawing r:id="rId2"/>
  <legacyDrawing r:id="rId3"/>
  <oleObjects>
    <mc:AlternateContent xmlns:mc="http://schemas.openxmlformats.org/markup-compatibility/2006">
      <mc:Choice Requires="x14">
        <oleObject progId="Word.Picture.8" shapeId="1030" r:id="rId4">
          <objectPr defaultSize="0" autoPict="0" r:id="rId5">
            <anchor moveWithCells="1" sizeWithCells="1">
              <from>
                <xdr:col>2</xdr:col>
                <xdr:colOff>361950</xdr:colOff>
                <xdr:row>0</xdr:row>
                <xdr:rowOff>47625</xdr:rowOff>
              </from>
              <to>
                <xdr:col>3</xdr:col>
                <xdr:colOff>904875</xdr:colOff>
                <xdr:row>1</xdr:row>
                <xdr:rowOff>190500</xdr:rowOff>
              </to>
            </anchor>
          </objectPr>
        </oleObject>
      </mc:Choice>
      <mc:Fallback>
        <oleObject progId="Word.Picture.8" shapeId="1030" r:id="rId4"/>
      </mc:Fallback>
    </mc:AlternateContent>
  </oleObjects>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vor">
                <anchor moveWithCells="1" sizeWithCells="1">
                  <from>
                    <xdr:col>4</xdr:col>
                    <xdr:colOff>800100</xdr:colOff>
                    <xdr:row>1</xdr:row>
                    <xdr:rowOff>28575</xdr:rowOff>
                  </from>
                  <to>
                    <xdr:col>5</xdr:col>
                    <xdr:colOff>438150</xdr:colOff>
                    <xdr:row>1</xdr:row>
                    <xdr:rowOff>238125</xdr:rowOff>
                  </to>
                </anchor>
              </controlPr>
            </control>
          </mc:Choice>
        </mc:AlternateContent>
        <mc:AlternateContent xmlns:mc="http://schemas.openxmlformats.org/markup-compatibility/2006">
          <mc:Choice Requires="x14">
            <control shapeId="1027" r:id="rId7" name="Button 3">
              <controlPr defaultSize="0" print="0" autoFill="0" autoPict="0" macro="[0]!zurück">
                <anchor moveWithCells="1" sizeWithCells="1">
                  <from>
                    <xdr:col>4</xdr:col>
                    <xdr:colOff>142875</xdr:colOff>
                    <xdr:row>1</xdr:row>
                    <xdr:rowOff>47625</xdr:rowOff>
                  </from>
                  <to>
                    <xdr:col>4</xdr:col>
                    <xdr:colOff>723900</xdr:colOff>
                    <xdr:row>1</xdr:row>
                    <xdr:rowOff>238125</xdr:rowOff>
                  </to>
                </anchor>
              </controlPr>
            </control>
          </mc:Choice>
        </mc:AlternateContent>
        <mc:AlternateContent xmlns:mc="http://schemas.openxmlformats.org/markup-compatibility/2006">
          <mc:Choice Requires="x14">
            <control shapeId="1028" r:id="rId8" name="Button 4">
              <controlPr defaultSize="0" print="0" autoFill="0" autoPict="0" macro="[0]!druckUndVor">
                <anchor moveWithCells="1" sizeWithCells="1">
                  <from>
                    <xdr:col>4</xdr:col>
                    <xdr:colOff>133350</xdr:colOff>
                    <xdr:row>1</xdr:row>
                    <xdr:rowOff>276225</xdr:rowOff>
                  </from>
                  <to>
                    <xdr:col>5</xdr:col>
                    <xdr:colOff>438150</xdr:colOff>
                    <xdr:row>1</xdr:row>
                    <xdr:rowOff>514350</xdr:rowOff>
                  </to>
                </anchor>
              </controlPr>
            </control>
          </mc:Choice>
        </mc:AlternateContent>
        <mc:AlternateContent xmlns:mc="http://schemas.openxmlformats.org/markup-compatibility/2006">
          <mc:Choice Requires="x14">
            <control shapeId="1032" r:id="rId9" name="Button 8">
              <controlPr defaultSize="0" print="0" autoFill="0" autoPict="0" macro="[0]!PDFundVor">
                <anchor moveWithCells="1" sizeWithCells="1">
                  <from>
                    <xdr:col>4</xdr:col>
                    <xdr:colOff>133350</xdr:colOff>
                    <xdr:row>1</xdr:row>
                    <xdr:rowOff>542925</xdr:rowOff>
                  </from>
                  <to>
                    <xdr:col>5</xdr:col>
                    <xdr:colOff>438150</xdr:colOff>
                    <xdr:row>1</xdr:row>
                    <xdr:rowOff>781050</xdr:rowOff>
                  </to>
                </anchor>
              </controlPr>
            </control>
          </mc:Choice>
        </mc:AlternateContent>
        <mc:AlternateContent xmlns:mc="http://schemas.openxmlformats.org/markup-compatibility/2006">
          <mc:Choice Requires="x14">
            <control shapeId="1033" r:id="rId10" name="Button 9">
              <controlPr defaultSize="0" print="0" autoFill="0" autoPict="0" macro="[0]!MailUndVor">
                <anchor moveWithCells="1" sizeWithCells="1">
                  <from>
                    <xdr:col>4</xdr:col>
                    <xdr:colOff>133350</xdr:colOff>
                    <xdr:row>1</xdr:row>
                    <xdr:rowOff>800100</xdr:rowOff>
                  </from>
                  <to>
                    <xdr:col>5</xdr:col>
                    <xdr:colOff>438150</xdr:colOff>
                    <xdr:row>1</xdr:row>
                    <xdr:rowOff>1000125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D13"/>
  <sheetViews>
    <sheetView workbookViewId="0">
      <selection activeCell="B1" sqref="B1:B1048576"/>
    </sheetView>
  </sheetViews>
  <sheetFormatPr baseColWidth="10" defaultRowHeight="15" x14ac:dyDescent="0.25"/>
  <cols>
    <col min="1" max="1" width="26" bestFit="1" customWidth="1"/>
    <col min="3" max="3" width="13.7109375" customWidth="1"/>
  </cols>
  <sheetData>
    <row r="1" spans="1:4" x14ac:dyDescent="0.25">
      <c r="A1" t="s">
        <v>0</v>
      </c>
      <c r="B1" s="2">
        <v>70</v>
      </c>
    </row>
    <row r="2" spans="1:4" x14ac:dyDescent="0.25">
      <c r="A2" t="s">
        <v>26</v>
      </c>
      <c r="B2" s="2">
        <v>35</v>
      </c>
    </row>
    <row r="3" spans="1:4" x14ac:dyDescent="0.25">
      <c r="A3" t="s">
        <v>81</v>
      </c>
      <c r="B3" s="33">
        <v>2</v>
      </c>
    </row>
    <row r="4" spans="1:4" x14ac:dyDescent="0.25">
      <c r="A4" t="s">
        <v>1</v>
      </c>
      <c r="B4" s="2">
        <v>28</v>
      </c>
    </row>
    <row r="5" spans="1:4" x14ac:dyDescent="0.25">
      <c r="A5" t="s">
        <v>2</v>
      </c>
      <c r="B5" s="2">
        <v>16.5</v>
      </c>
    </row>
    <row r="6" spans="1:4" x14ac:dyDescent="0.25">
      <c r="A6" t="s">
        <v>3</v>
      </c>
      <c r="B6" s="2">
        <v>25</v>
      </c>
    </row>
    <row r="7" spans="1:4" x14ac:dyDescent="0.25">
      <c r="A7" t="s">
        <v>35</v>
      </c>
      <c r="B7" t="s">
        <v>112</v>
      </c>
    </row>
    <row r="8" spans="1:4" x14ac:dyDescent="0.25">
      <c r="A8" t="s">
        <v>4</v>
      </c>
      <c r="B8" t="s">
        <v>46</v>
      </c>
    </row>
    <row r="9" spans="1:4" x14ac:dyDescent="0.25">
      <c r="A9" t="s">
        <v>5</v>
      </c>
      <c r="B9" t="s">
        <v>47</v>
      </c>
      <c r="D9" s="28"/>
    </row>
    <row r="10" spans="1:4" x14ac:dyDescent="0.25">
      <c r="A10" t="s">
        <v>16</v>
      </c>
      <c r="B10" t="s">
        <v>48</v>
      </c>
    </row>
    <row r="11" spans="1:4" x14ac:dyDescent="0.25">
      <c r="A11" t="s">
        <v>32</v>
      </c>
      <c r="B11" t="s">
        <v>49</v>
      </c>
    </row>
    <row r="12" spans="1:4" x14ac:dyDescent="0.25">
      <c r="A12" t="s">
        <v>33</v>
      </c>
      <c r="B12">
        <v>123456789</v>
      </c>
    </row>
    <row r="13" spans="1:4" x14ac:dyDescent="0.25">
      <c r="A13" t="s">
        <v>34</v>
      </c>
      <c r="B13" t="s">
        <v>50</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mportListe">
    <outlinePr summaryRight="0"/>
  </sheetPr>
  <dimension ref="A1:AD70"/>
  <sheetViews>
    <sheetView workbookViewId="0">
      <pane ySplit="1" topLeftCell="A2" activePane="bottomLeft" state="frozen"/>
      <selection activeCell="K16" sqref="K16"/>
      <selection pane="bottomLeft" activeCell="A2" sqref="A2:W6"/>
    </sheetView>
  </sheetViews>
  <sheetFormatPr baseColWidth="10" defaultRowHeight="15" outlineLevelCol="1" x14ac:dyDescent="0.25"/>
  <cols>
    <col min="1" max="1" width="9" customWidth="1"/>
    <col min="2" max="2" width="13.28515625" customWidth="1"/>
    <col min="3" max="3" width="12.5703125" customWidth="1"/>
    <col min="4" max="4" width="11.7109375" customWidth="1"/>
    <col min="5" max="5" width="10.42578125" style="44" customWidth="1"/>
    <col min="6" max="6" width="9.28515625" customWidth="1"/>
    <col min="7" max="7" width="4" customWidth="1" outlineLevel="1"/>
    <col min="8" max="8" width="4.7109375" customWidth="1" outlineLevel="1"/>
    <col min="9" max="9" width="8.140625" customWidth="1" outlineLevel="1"/>
    <col min="10" max="10" width="4" customWidth="1" outlineLevel="1"/>
    <col min="11" max="11" width="5.140625" customWidth="1" outlineLevel="1"/>
    <col min="12" max="12" width="10.140625" customWidth="1" outlineLevel="1"/>
    <col min="13" max="14" width="4" customWidth="1" outlineLevel="1"/>
    <col min="15" max="15" width="8.85546875" customWidth="1" outlineLevel="1"/>
    <col min="16" max="16" width="4" customWidth="1" outlineLevel="1"/>
    <col min="17" max="17" width="4.5703125" customWidth="1" outlineLevel="1"/>
    <col min="18" max="18" width="10" customWidth="1" outlineLevel="1"/>
    <col min="19" max="19" width="4" customWidth="1" outlineLevel="1"/>
    <col min="20" max="20" width="4.140625" customWidth="1" outlineLevel="1"/>
    <col min="21" max="21" width="8.5703125" customWidth="1" outlineLevel="1"/>
    <col min="22" max="22" width="4.7109375" customWidth="1" outlineLevel="1"/>
    <col min="23" max="23" width="3.85546875" customWidth="1" outlineLevel="1"/>
    <col min="24" max="24" width="8.140625" customWidth="1"/>
    <col min="25" max="25" width="9.42578125" customWidth="1"/>
    <col min="26" max="26" width="10" customWidth="1"/>
  </cols>
  <sheetData>
    <row r="1" spans="1:30" x14ac:dyDescent="0.25">
      <c r="A1" t="s">
        <v>12</v>
      </c>
      <c r="B1" t="s">
        <v>6</v>
      </c>
      <c r="C1" t="s">
        <v>87</v>
      </c>
      <c r="D1" t="s">
        <v>86</v>
      </c>
      <c r="E1" s="44" t="s">
        <v>64</v>
      </c>
      <c r="F1" s="12" t="s">
        <v>17</v>
      </c>
      <c r="G1" s="13" t="s">
        <v>7</v>
      </c>
      <c r="H1" s="14" t="s">
        <v>22</v>
      </c>
      <c r="I1" t="s">
        <v>18</v>
      </c>
      <c r="J1" t="s">
        <v>8</v>
      </c>
      <c r="K1" t="s">
        <v>23</v>
      </c>
      <c r="L1" s="12" t="s">
        <v>19</v>
      </c>
      <c r="M1" s="13" t="s">
        <v>9</v>
      </c>
      <c r="N1" s="14" t="s">
        <v>24</v>
      </c>
      <c r="O1" s="12" t="s">
        <v>20</v>
      </c>
      <c r="P1" s="13" t="s">
        <v>10</v>
      </c>
      <c r="Q1" s="14" t="s">
        <v>25</v>
      </c>
      <c r="R1" s="12" t="s">
        <v>36</v>
      </c>
      <c r="S1" s="13" t="s">
        <v>37</v>
      </c>
      <c r="T1" s="14" t="s">
        <v>38</v>
      </c>
      <c r="U1" s="12" t="s">
        <v>39</v>
      </c>
      <c r="V1" s="13" t="s">
        <v>40</v>
      </c>
      <c r="W1" s="14" t="s">
        <v>41</v>
      </c>
      <c r="X1" t="s">
        <v>82</v>
      </c>
      <c r="Y1" t="s">
        <v>117</v>
      </c>
      <c r="Z1" s="3" t="s">
        <v>85</v>
      </c>
      <c r="AB1" s="10" t="s">
        <v>111</v>
      </c>
    </row>
    <row r="2" spans="1:30" ht="13.5" customHeight="1" x14ac:dyDescent="0.25">
      <c r="A2" s="17" t="s">
        <v>13</v>
      </c>
      <c r="B2" s="18" t="s">
        <v>43</v>
      </c>
      <c r="C2" s="18" t="s">
        <v>88</v>
      </c>
      <c r="D2" t="s">
        <v>93</v>
      </c>
      <c r="E2" s="31" t="s">
        <v>76</v>
      </c>
      <c r="F2" s="19" t="s">
        <v>70</v>
      </c>
      <c r="G2" s="18" t="s">
        <v>31</v>
      </c>
      <c r="H2" s="20"/>
      <c r="I2" s="19" t="s">
        <v>71</v>
      </c>
      <c r="J2" s="21" t="s">
        <v>31</v>
      </c>
      <c r="K2" s="21"/>
      <c r="L2" s="19"/>
      <c r="M2" s="18"/>
      <c r="N2" s="20"/>
      <c r="O2" s="19"/>
      <c r="P2" s="18"/>
      <c r="Q2" s="20"/>
      <c r="R2" s="19"/>
      <c r="S2" s="18"/>
      <c r="T2" s="20"/>
      <c r="U2" s="18"/>
      <c r="V2" s="18"/>
      <c r="W2" s="22"/>
      <c r="X2" s="2"/>
      <c r="Y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199.5</v>
      </c>
    </row>
    <row r="3" spans="1:30" ht="13.5" customHeight="1" x14ac:dyDescent="0.25">
      <c r="A3" s="23" t="s">
        <v>14</v>
      </c>
      <c r="B3" s="24" t="s">
        <v>44</v>
      </c>
      <c r="C3" s="24" t="s">
        <v>89</v>
      </c>
      <c r="D3" t="s">
        <v>94</v>
      </c>
      <c r="E3" s="31" t="s">
        <v>77</v>
      </c>
      <c r="F3" s="25" t="s">
        <v>66</v>
      </c>
      <c r="G3" s="24"/>
      <c r="H3" s="26" t="s">
        <v>30</v>
      </c>
      <c r="I3" s="25"/>
      <c r="J3" s="24"/>
      <c r="K3" s="24"/>
      <c r="L3" s="25"/>
      <c r="M3" s="24"/>
      <c r="N3" s="26"/>
      <c r="O3" s="25"/>
      <c r="P3" s="24"/>
      <c r="Q3" s="26"/>
      <c r="R3" s="25"/>
      <c r="S3" s="24"/>
      <c r="T3" s="26"/>
      <c r="U3" s="24"/>
      <c r="V3" s="24"/>
      <c r="W3" s="27"/>
      <c r="X3" s="2"/>
      <c r="Y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3" t="s">
        <v>58</v>
      </c>
    </row>
    <row r="4" spans="1:30" ht="13.5" customHeight="1" x14ac:dyDescent="0.25">
      <c r="A4" s="17" t="s">
        <v>21</v>
      </c>
      <c r="B4" s="18" t="s">
        <v>45</v>
      </c>
      <c r="C4" s="18" t="s">
        <v>90</v>
      </c>
      <c r="D4" t="s">
        <v>95</v>
      </c>
      <c r="E4" s="31" t="s">
        <v>78</v>
      </c>
      <c r="F4" s="19" t="s">
        <v>67</v>
      </c>
      <c r="G4" s="18"/>
      <c r="H4" s="20" t="s">
        <v>30</v>
      </c>
      <c r="I4" s="19"/>
      <c r="J4" s="18"/>
      <c r="K4" s="18"/>
      <c r="L4" s="19"/>
      <c r="M4" s="18"/>
      <c r="N4" s="20"/>
      <c r="O4" s="19"/>
      <c r="P4" s="18"/>
      <c r="Q4" s="20"/>
      <c r="R4" s="19"/>
      <c r="S4" s="18"/>
      <c r="T4" s="20"/>
      <c r="U4" s="18"/>
      <c r="V4" s="18"/>
      <c r="W4" s="22"/>
      <c r="X4" s="2"/>
      <c r="Y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28</v>
      </c>
      <c r="Z4" s="10" t="s">
        <v>29</v>
      </c>
    </row>
    <row r="5" spans="1:30" ht="13.5" customHeight="1" x14ac:dyDescent="0.25">
      <c r="A5" s="23" t="s">
        <v>13</v>
      </c>
      <c r="B5" s="24" t="s">
        <v>74</v>
      </c>
      <c r="C5" s="24" t="s">
        <v>91</v>
      </c>
      <c r="D5" t="s">
        <v>97</v>
      </c>
      <c r="E5" s="31" t="s">
        <v>79</v>
      </c>
      <c r="F5" s="25" t="s">
        <v>68</v>
      </c>
      <c r="G5" s="24"/>
      <c r="H5" s="26" t="s">
        <v>30</v>
      </c>
      <c r="I5" s="25" t="s">
        <v>69</v>
      </c>
      <c r="J5" s="24"/>
      <c r="K5" s="24"/>
      <c r="L5" s="25"/>
      <c r="M5" s="24"/>
      <c r="N5" s="26"/>
      <c r="O5" s="25"/>
      <c r="P5" s="24"/>
      <c r="Q5" s="26"/>
      <c r="R5" s="25"/>
      <c r="S5" s="24"/>
      <c r="T5" s="26"/>
      <c r="U5" s="24"/>
      <c r="V5" s="24"/>
      <c r="W5" s="27"/>
      <c r="X5" s="2"/>
      <c r="Y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79.5</v>
      </c>
      <c r="Z5" t="s">
        <v>75</v>
      </c>
    </row>
    <row r="6" spans="1:30" ht="13.5" customHeight="1" x14ac:dyDescent="0.25">
      <c r="A6" s="17" t="s">
        <v>13</v>
      </c>
      <c r="B6" s="18" t="s">
        <v>72</v>
      </c>
      <c r="C6" s="18" t="s">
        <v>92</v>
      </c>
      <c r="D6" t="s">
        <v>96</v>
      </c>
      <c r="E6" s="31" t="s">
        <v>80</v>
      </c>
      <c r="F6" s="19" t="s">
        <v>73</v>
      </c>
      <c r="G6" s="18"/>
      <c r="H6" s="20"/>
      <c r="I6" s="19"/>
      <c r="J6" s="18"/>
      <c r="K6" s="18"/>
      <c r="L6" s="19"/>
      <c r="M6" s="18"/>
      <c r="N6" s="20"/>
      <c r="O6" s="19"/>
      <c r="P6" s="18"/>
      <c r="Q6" s="20"/>
      <c r="R6" s="19"/>
      <c r="S6" s="18"/>
      <c r="T6" s="20"/>
      <c r="U6" s="18"/>
      <c r="V6" s="18"/>
      <c r="W6" s="22"/>
      <c r="X6" s="2"/>
      <c r="Y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98</v>
      </c>
      <c r="Z6" s="29">
        <f ca="1">YEAR(TODAY())-1</f>
        <v>2018</v>
      </c>
    </row>
    <row r="7" spans="1:30" ht="13.5" customHeight="1" x14ac:dyDescent="0.25">
      <c r="E7" s="1"/>
      <c r="F7" s="15"/>
      <c r="H7" s="16"/>
      <c r="I7" s="15"/>
      <c r="K7" s="43"/>
      <c r="L7" s="15"/>
      <c r="N7" s="16"/>
      <c r="O7" s="15"/>
      <c r="Q7" s="16"/>
      <c r="R7" s="15"/>
      <c r="T7" s="16"/>
      <c r="W7" s="16"/>
      <c r="X7" s="2"/>
      <c r="Y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7" t="s">
        <v>60</v>
      </c>
    </row>
    <row r="8" spans="1:30" ht="13.5" customHeight="1" x14ac:dyDescent="0.25">
      <c r="E8" s="1"/>
      <c r="F8" s="15"/>
      <c r="H8" s="16"/>
      <c r="I8" s="15"/>
      <c r="K8" s="43"/>
      <c r="L8" s="15"/>
      <c r="N8" s="16"/>
      <c r="O8" s="15"/>
      <c r="Q8" s="16"/>
      <c r="R8" s="15"/>
      <c r="T8" s="16"/>
      <c r="W8" s="16"/>
      <c r="X8" s="2"/>
      <c r="Y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8" s="10" t="s">
        <v>61</v>
      </c>
      <c r="AA8" s="10" t="s">
        <v>62</v>
      </c>
      <c r="AB8" s="10"/>
    </row>
    <row r="9" spans="1:30" ht="13.5" customHeight="1" x14ac:dyDescent="0.25">
      <c r="A9" s="43"/>
      <c r="B9" s="43"/>
      <c r="C9" s="43"/>
      <c r="E9" s="46"/>
      <c r="F9" s="15"/>
      <c r="G9" s="43"/>
      <c r="H9" s="16"/>
      <c r="I9" s="15"/>
      <c r="J9" s="43"/>
      <c r="K9" s="43"/>
      <c r="L9" s="15"/>
      <c r="M9" s="43"/>
      <c r="N9" s="16"/>
      <c r="O9" s="15"/>
      <c r="P9" s="43"/>
      <c r="Q9" s="16"/>
      <c r="R9" s="15"/>
      <c r="S9" s="43"/>
      <c r="T9" s="16"/>
      <c r="U9" s="43"/>
      <c r="V9" s="43"/>
      <c r="W9" s="16"/>
      <c r="X9" s="35"/>
      <c r="Y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9" t="s">
        <v>59</v>
      </c>
      <c r="AD9" s="3"/>
    </row>
    <row r="10" spans="1:30" ht="13.5" customHeight="1" x14ac:dyDescent="0.25">
      <c r="E10" s="1"/>
      <c r="F10" s="15"/>
      <c r="H10" s="16"/>
      <c r="I10" s="15"/>
      <c r="K10" s="43"/>
      <c r="L10" s="15"/>
      <c r="N10" s="16"/>
      <c r="O10" s="15"/>
      <c r="Q10" s="16"/>
      <c r="R10" s="15"/>
      <c r="T10" s="16"/>
      <c r="W10" s="16"/>
      <c r="X10" s="2"/>
      <c r="Y1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0" s="38">
        <f ca="1">DATE(AufnahmeJahr,AA10,AB10)</f>
        <v>43215</v>
      </c>
      <c r="AA10" s="10">
        <v>4</v>
      </c>
      <c r="AB10" s="10">
        <v>25</v>
      </c>
    </row>
    <row r="11" spans="1:30" ht="13.5" customHeight="1" x14ac:dyDescent="0.25">
      <c r="A11" s="34"/>
      <c r="B11" s="34"/>
      <c r="C11" s="34"/>
      <c r="D11" s="34"/>
      <c r="E11" s="47"/>
      <c r="F11" s="36"/>
      <c r="G11" s="34"/>
      <c r="H11" s="37"/>
      <c r="I11" s="36"/>
      <c r="J11" s="34"/>
      <c r="K11" s="37"/>
      <c r="L11" s="36"/>
      <c r="M11" s="34"/>
      <c r="N11" s="37"/>
      <c r="O11" s="36"/>
      <c r="P11" s="34"/>
      <c r="Q11" s="37"/>
      <c r="R11" s="36"/>
      <c r="S11" s="34"/>
      <c r="T11" s="37"/>
      <c r="U11" s="34"/>
      <c r="V11" s="34"/>
      <c r="W11" s="37"/>
      <c r="X11" s="35"/>
      <c r="Y1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1" t="s">
        <v>57</v>
      </c>
    </row>
    <row r="12" spans="1:30" ht="13.5" customHeight="1" x14ac:dyDescent="0.25">
      <c r="E12" s="1"/>
      <c r="F12" s="15"/>
      <c r="H12" s="16"/>
      <c r="I12" s="15"/>
      <c r="K12" s="16"/>
      <c r="L12" s="15"/>
      <c r="N12" s="16"/>
      <c r="O12" s="15"/>
      <c r="Q12" s="16"/>
      <c r="R12" s="15"/>
      <c r="T12" s="16"/>
      <c r="W12" s="16"/>
      <c r="X12" s="2"/>
      <c r="Y1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2" s="10" t="s">
        <v>52</v>
      </c>
    </row>
    <row r="13" spans="1:30" ht="13.5" customHeight="1" x14ac:dyDescent="0.25">
      <c r="E13" s="1"/>
      <c r="F13" s="15"/>
      <c r="H13" s="16"/>
      <c r="I13" s="15"/>
      <c r="K13" s="16"/>
      <c r="L13" s="15"/>
      <c r="N13" s="16"/>
      <c r="O13" s="15"/>
      <c r="Q13" s="16"/>
      <c r="R13" s="15"/>
      <c r="T13" s="16"/>
      <c r="W13" s="16"/>
      <c r="X13" s="2"/>
      <c r="Y1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3" s="10" t="s">
        <v>53</v>
      </c>
    </row>
    <row r="14" spans="1:30" ht="13.5" customHeight="1" x14ac:dyDescent="0.25">
      <c r="E14" s="1"/>
      <c r="F14" s="15"/>
      <c r="H14" s="16"/>
      <c r="I14" s="15"/>
      <c r="K14" s="16"/>
      <c r="L14" s="15"/>
      <c r="N14" s="16"/>
      <c r="O14" s="15"/>
      <c r="Q14" s="16"/>
      <c r="R14" s="15"/>
      <c r="T14" s="16"/>
      <c r="W14" s="16"/>
      <c r="X14" s="2"/>
      <c r="Y1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4" s="10" t="s">
        <v>54</v>
      </c>
    </row>
    <row r="15" spans="1:30" ht="13.5" customHeight="1" x14ac:dyDescent="0.25">
      <c r="E15" s="1"/>
      <c r="F15" s="15"/>
      <c r="H15" s="16"/>
      <c r="I15" s="15"/>
      <c r="K15" s="16"/>
      <c r="L15" s="15"/>
      <c r="N15" s="16"/>
      <c r="O15" s="15"/>
      <c r="Q15" s="16"/>
      <c r="R15" s="15"/>
      <c r="T15" s="16"/>
      <c r="W15" s="16"/>
      <c r="X15" s="2"/>
      <c r="Y1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5" s="10" t="s">
        <v>55</v>
      </c>
    </row>
    <row r="16" spans="1:30" ht="13.5" customHeight="1" x14ac:dyDescent="0.25">
      <c r="E16" s="1"/>
      <c r="F16" s="15"/>
      <c r="H16" s="16"/>
      <c r="I16" s="15"/>
      <c r="K16" s="16"/>
      <c r="L16" s="15"/>
      <c r="N16" s="16"/>
      <c r="O16" s="15"/>
      <c r="Q16" s="16"/>
      <c r="R16" s="15"/>
      <c r="T16" s="16"/>
      <c r="W16" s="16"/>
      <c r="X16" s="35"/>
      <c r="Y1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6" s="10" t="s">
        <v>56</v>
      </c>
    </row>
    <row r="17" spans="1:26" ht="13.5" customHeight="1" x14ac:dyDescent="0.25">
      <c r="E17" s="1"/>
      <c r="F17" s="15"/>
      <c r="H17" s="16"/>
      <c r="I17" s="15"/>
      <c r="K17" s="16"/>
      <c r="L17" s="15"/>
      <c r="N17" s="16"/>
      <c r="O17" s="15"/>
      <c r="Q17" s="16"/>
      <c r="R17" s="15"/>
      <c r="T17" s="16"/>
      <c r="W17" s="16"/>
      <c r="X17" s="35"/>
      <c r="Y1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7" s="10" t="s">
        <v>51</v>
      </c>
    </row>
    <row r="18" spans="1:26" ht="13.5" customHeight="1" x14ac:dyDescent="0.25">
      <c r="E18" s="1"/>
      <c r="F18" s="15"/>
      <c r="H18" s="16"/>
      <c r="I18" s="15"/>
      <c r="K18" s="16"/>
      <c r="L18" s="15"/>
      <c r="N18" s="16"/>
      <c r="O18" s="15"/>
      <c r="Q18" s="16"/>
      <c r="R18" s="15"/>
      <c r="T18" s="16"/>
      <c r="W18" s="16"/>
      <c r="X18" s="2"/>
      <c r="Y1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8" t="s">
        <v>65</v>
      </c>
    </row>
    <row r="19" spans="1:26" ht="13.5" customHeight="1" x14ac:dyDescent="0.25">
      <c r="E19" s="1"/>
      <c r="F19" s="15"/>
      <c r="H19" s="16"/>
      <c r="I19" s="15"/>
      <c r="K19" s="16"/>
      <c r="L19" s="15"/>
      <c r="N19" s="16"/>
      <c r="O19" s="15"/>
      <c r="Q19" s="16"/>
      <c r="R19" s="15"/>
      <c r="T19" s="16"/>
      <c r="W19" s="16"/>
      <c r="X19" s="2"/>
      <c r="Y1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19" s="10" t="s">
        <v>83</v>
      </c>
    </row>
    <row r="20" spans="1:26" ht="13.5" customHeight="1" x14ac:dyDescent="0.25">
      <c r="E20" s="1"/>
      <c r="F20" s="15"/>
      <c r="H20" s="16"/>
      <c r="I20" s="15"/>
      <c r="K20" s="16"/>
      <c r="L20" s="15"/>
      <c r="N20" s="16"/>
      <c r="O20" s="15"/>
      <c r="Q20" s="16"/>
      <c r="R20" s="15"/>
      <c r="T20" s="16"/>
      <c r="W20" s="16"/>
      <c r="X20" s="2"/>
      <c r="Y2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1" spans="1:26" ht="13.5" customHeight="1" x14ac:dyDescent="0.25">
      <c r="E21" s="1"/>
      <c r="F21" s="15"/>
      <c r="H21" s="16"/>
      <c r="I21" s="15"/>
      <c r="K21" s="16"/>
      <c r="L21" s="15"/>
      <c r="N21" s="16"/>
      <c r="O21" s="15"/>
      <c r="Q21" s="16"/>
      <c r="R21" s="15"/>
      <c r="T21" s="16"/>
      <c r="W21" s="16"/>
      <c r="X21" s="35"/>
      <c r="Y2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2" spans="1:26" ht="13.5" customHeight="1" x14ac:dyDescent="0.25">
      <c r="E22" s="1"/>
      <c r="F22" s="15"/>
      <c r="H22" s="16"/>
      <c r="I22" s="15"/>
      <c r="K22" s="16"/>
      <c r="L22" s="15"/>
      <c r="N22" s="16"/>
      <c r="O22" s="15"/>
      <c r="Q22" s="16"/>
      <c r="R22" s="15"/>
      <c r="T22" s="16"/>
      <c r="W22" s="16"/>
      <c r="X22" s="2"/>
      <c r="Y2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c r="Z22" t="s">
        <v>42</v>
      </c>
    </row>
    <row r="23" spans="1:26" ht="13.5" customHeight="1" x14ac:dyDescent="0.25">
      <c r="E23" s="1"/>
      <c r="F23" s="15"/>
      <c r="H23" s="16"/>
      <c r="I23" s="15"/>
      <c r="K23" s="16"/>
      <c r="L23" s="15"/>
      <c r="N23" s="16"/>
      <c r="O23" s="15"/>
      <c r="Q23" s="16"/>
      <c r="R23" s="15"/>
      <c r="T23" s="16"/>
      <c r="W23" s="16"/>
      <c r="X23" s="35"/>
      <c r="Y2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4" spans="1:26" ht="13.5" customHeight="1" x14ac:dyDescent="0.25">
      <c r="A24" s="42"/>
      <c r="B24" s="42"/>
      <c r="C24" s="42"/>
      <c r="E24" s="46"/>
      <c r="F24" s="36"/>
      <c r="G24" s="42"/>
      <c r="H24" s="37"/>
      <c r="I24" s="36"/>
      <c r="J24" s="42"/>
      <c r="K24" s="37"/>
      <c r="L24" s="36"/>
      <c r="M24" s="42"/>
      <c r="N24" s="37"/>
      <c r="O24" s="36"/>
      <c r="P24" s="42"/>
      <c r="Q24" s="37"/>
      <c r="R24" s="36"/>
      <c r="S24" s="42"/>
      <c r="T24" s="37"/>
      <c r="U24" s="42"/>
      <c r="V24" s="42"/>
      <c r="W24" s="37"/>
      <c r="X24" s="35"/>
      <c r="Y2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5" spans="1:26" ht="13.5" customHeight="1" x14ac:dyDescent="0.25">
      <c r="A25" s="42"/>
      <c r="B25" s="42"/>
      <c r="C25" s="42"/>
      <c r="E25" s="46"/>
      <c r="F25" s="36"/>
      <c r="G25" s="42"/>
      <c r="H25" s="37"/>
      <c r="I25" s="36"/>
      <c r="J25" s="42"/>
      <c r="K25" s="37"/>
      <c r="L25" s="36"/>
      <c r="M25" s="42"/>
      <c r="N25" s="37"/>
      <c r="O25" s="36"/>
      <c r="P25" s="42"/>
      <c r="Q25" s="37"/>
      <c r="R25" s="36"/>
      <c r="S25" s="42"/>
      <c r="T25" s="37"/>
      <c r="U25" s="42"/>
      <c r="V25" s="42"/>
      <c r="W25" s="37"/>
      <c r="X25" s="2"/>
      <c r="Y2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6" spans="1:26" ht="13.5" customHeight="1" x14ac:dyDescent="0.25">
      <c r="E26" s="1"/>
      <c r="F26" s="15"/>
      <c r="H26" s="16"/>
      <c r="I26" s="15"/>
      <c r="K26" s="16"/>
      <c r="L26" s="15"/>
      <c r="N26" s="16"/>
      <c r="O26" s="15"/>
      <c r="Q26" s="16"/>
      <c r="R26" s="15"/>
      <c r="T26" s="16"/>
      <c r="W26" s="16"/>
      <c r="X26" s="2"/>
      <c r="Y2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7" spans="1:26" ht="13.5" customHeight="1" x14ac:dyDescent="0.25">
      <c r="E27" s="1"/>
      <c r="F27" s="15"/>
      <c r="H27" s="16"/>
      <c r="I27" s="15"/>
      <c r="K27" s="16"/>
      <c r="L27" s="15"/>
      <c r="N27" s="16"/>
      <c r="O27" s="15"/>
      <c r="Q27" s="16"/>
      <c r="R27" s="15"/>
      <c r="T27" s="16"/>
      <c r="W27" s="16"/>
      <c r="X27" s="2"/>
      <c r="Y2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8" spans="1:26" ht="13.5" customHeight="1" x14ac:dyDescent="0.25">
      <c r="A28" s="42"/>
      <c r="B28" s="42"/>
      <c r="C28" s="42"/>
      <c r="E28" s="46"/>
      <c r="F28" s="36"/>
      <c r="G28" s="42"/>
      <c r="H28" s="37"/>
      <c r="I28" s="36"/>
      <c r="J28" s="42"/>
      <c r="K28" s="37"/>
      <c r="L28" s="36"/>
      <c r="M28" s="42"/>
      <c r="N28" s="37"/>
      <c r="O28" s="36"/>
      <c r="P28" s="42"/>
      <c r="Q28" s="37"/>
      <c r="R28" s="36"/>
      <c r="S28" s="42"/>
      <c r="T28" s="37"/>
      <c r="U28" s="42"/>
      <c r="V28" s="42"/>
      <c r="W28" s="37"/>
      <c r="X28" s="35"/>
      <c r="Y2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29" spans="1:26" ht="13.5" customHeight="1" x14ac:dyDescent="0.25">
      <c r="E29" s="1"/>
      <c r="F29" s="15"/>
      <c r="H29" s="16"/>
      <c r="I29" s="15"/>
      <c r="K29" s="16"/>
      <c r="L29" s="15"/>
      <c r="N29" s="16"/>
      <c r="O29" s="15"/>
      <c r="Q29" s="16"/>
      <c r="R29" s="15"/>
      <c r="T29" s="16"/>
      <c r="W29" s="16"/>
      <c r="X29" s="2"/>
      <c r="Y2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0" spans="1:26" ht="13.5" customHeight="1" x14ac:dyDescent="0.25">
      <c r="A30" s="43"/>
      <c r="B30" s="43"/>
      <c r="C30" s="43"/>
      <c r="E30" s="46"/>
      <c r="F30" s="15"/>
      <c r="G30" s="43"/>
      <c r="H30" s="16"/>
      <c r="I30" s="15"/>
      <c r="J30" s="43"/>
      <c r="K30" s="16"/>
      <c r="L30" s="15"/>
      <c r="M30" s="43"/>
      <c r="N30" s="16"/>
      <c r="O30" s="15"/>
      <c r="P30" s="43"/>
      <c r="Q30" s="16"/>
      <c r="R30" s="15"/>
      <c r="S30" s="43"/>
      <c r="T30" s="16"/>
      <c r="U30" s="43"/>
      <c r="V30" s="43"/>
      <c r="W30" s="16"/>
      <c r="X30" s="35"/>
      <c r="Y3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1" spans="1:26" ht="13.5" customHeight="1" x14ac:dyDescent="0.25">
      <c r="E31" s="1"/>
      <c r="F31" s="15"/>
      <c r="H31" s="16"/>
      <c r="I31" s="15"/>
      <c r="K31" s="16"/>
      <c r="L31" s="15"/>
      <c r="N31" s="16"/>
      <c r="O31" s="15"/>
      <c r="Q31" s="16"/>
      <c r="R31" s="15"/>
      <c r="T31" s="16"/>
      <c r="W31" s="16"/>
      <c r="X31" s="2"/>
      <c r="Y3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2" spans="1:26" ht="13.5" customHeight="1" x14ac:dyDescent="0.25">
      <c r="E32" s="1"/>
      <c r="F32" s="15"/>
      <c r="H32" s="16"/>
      <c r="I32" s="15"/>
      <c r="K32" s="16"/>
      <c r="L32" s="15"/>
      <c r="N32" s="16"/>
      <c r="O32" s="15"/>
      <c r="Q32" s="16"/>
      <c r="R32" s="15"/>
      <c r="T32" s="16"/>
      <c r="W32" s="16"/>
      <c r="X32" s="2"/>
      <c r="Y3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3" spans="5:25" ht="13.5" customHeight="1" x14ac:dyDescent="0.25">
      <c r="E33" s="1"/>
      <c r="F33" s="15"/>
      <c r="H33" s="16"/>
      <c r="I33" s="15"/>
      <c r="K33" s="16"/>
      <c r="L33" s="15"/>
      <c r="N33" s="16"/>
      <c r="O33" s="15"/>
      <c r="Q33" s="16"/>
      <c r="R33" s="15"/>
      <c r="T33" s="16"/>
      <c r="W33" s="16"/>
      <c r="X33" s="2"/>
      <c r="Y3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4" spans="5:25" ht="13.5" customHeight="1" x14ac:dyDescent="0.25">
      <c r="E34" s="1"/>
      <c r="F34" s="15"/>
      <c r="H34" s="16"/>
      <c r="I34" s="15"/>
      <c r="K34" s="16"/>
      <c r="L34" s="15"/>
      <c r="N34" s="16"/>
      <c r="O34" s="15"/>
      <c r="Q34" s="16"/>
      <c r="R34" s="15"/>
      <c r="T34" s="16"/>
      <c r="W34" s="16"/>
      <c r="X34" s="2"/>
      <c r="Y3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5" spans="5:25" ht="13.5" customHeight="1" x14ac:dyDescent="0.25">
      <c r="E35" s="1"/>
      <c r="F35" s="15"/>
      <c r="H35" s="16"/>
      <c r="I35" s="15"/>
      <c r="K35" s="16"/>
      <c r="L35" s="15"/>
      <c r="N35" s="16"/>
      <c r="O35" s="15"/>
      <c r="Q35" s="16"/>
      <c r="R35" s="15"/>
      <c r="T35" s="16"/>
      <c r="W35" s="16"/>
      <c r="X35" s="2"/>
      <c r="Y3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6" spans="5:25" ht="13.5" customHeight="1" x14ac:dyDescent="0.25">
      <c r="E36" s="47"/>
      <c r="F36" s="15"/>
      <c r="H36" s="16"/>
      <c r="I36" s="15"/>
      <c r="K36" s="16"/>
      <c r="L36" s="15"/>
      <c r="N36" s="16"/>
      <c r="O36" s="15"/>
      <c r="Q36" s="16"/>
      <c r="R36" s="15"/>
      <c r="T36" s="16"/>
      <c r="W36" s="16"/>
      <c r="X36" s="35"/>
      <c r="Y3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7" spans="5:25" ht="13.5" customHeight="1" x14ac:dyDescent="0.25">
      <c r="E37" s="1"/>
      <c r="F37" s="15"/>
      <c r="H37" s="16"/>
      <c r="I37" s="15"/>
      <c r="K37" s="16"/>
      <c r="L37" s="15"/>
      <c r="N37" s="16"/>
      <c r="O37" s="15"/>
      <c r="Q37" s="16"/>
      <c r="R37" s="15"/>
      <c r="T37" s="16"/>
      <c r="W37" s="16"/>
      <c r="X37" s="35"/>
      <c r="Y3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8" spans="5:25" ht="13.5" customHeight="1" x14ac:dyDescent="0.25">
      <c r="E38" s="1"/>
      <c r="F38" s="15"/>
      <c r="H38" s="16"/>
      <c r="I38" s="15"/>
      <c r="K38" s="16"/>
      <c r="L38" s="15"/>
      <c r="N38" s="16"/>
      <c r="O38" s="15"/>
      <c r="Q38" s="16"/>
      <c r="R38" s="15"/>
      <c r="T38" s="16"/>
      <c r="W38" s="16"/>
      <c r="X38" s="2"/>
      <c r="Y3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39" spans="5:25" ht="13.5" customHeight="1" x14ac:dyDescent="0.25">
      <c r="E39" s="1"/>
      <c r="F39" s="15"/>
      <c r="H39" s="16"/>
      <c r="I39" s="15"/>
      <c r="K39" s="16"/>
      <c r="L39" s="15"/>
      <c r="N39" s="16"/>
      <c r="O39" s="15"/>
      <c r="Q39" s="16"/>
      <c r="R39" s="15"/>
      <c r="T39" s="16"/>
      <c r="W39" s="16"/>
      <c r="X39" s="2"/>
      <c r="Y3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0" spans="5:25" ht="13.5" customHeight="1" x14ac:dyDescent="0.25">
      <c r="E40" s="1"/>
      <c r="F40" s="15"/>
      <c r="H40" s="16"/>
      <c r="I40" s="15"/>
      <c r="K40" s="16"/>
      <c r="L40" s="15"/>
      <c r="N40" s="16"/>
      <c r="O40" s="15"/>
      <c r="Q40" s="16"/>
      <c r="R40" s="15"/>
      <c r="T40" s="16"/>
      <c r="W40" s="16"/>
      <c r="X40" s="2"/>
      <c r="Y4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1" spans="5:25" ht="13.5" customHeight="1" x14ac:dyDescent="0.25">
      <c r="E41" s="1"/>
      <c r="F41" s="15"/>
      <c r="H41" s="16"/>
      <c r="I41" s="15"/>
      <c r="K41" s="16"/>
      <c r="L41" s="15"/>
      <c r="N41" s="16"/>
      <c r="O41" s="15"/>
      <c r="Q41" s="16"/>
      <c r="R41" s="15"/>
      <c r="T41" s="16"/>
      <c r="W41" s="16"/>
      <c r="X41" s="2"/>
      <c r="Y4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2" spans="5:25" ht="13.5" customHeight="1" x14ac:dyDescent="0.25">
      <c r="E42" s="1"/>
      <c r="F42" s="15"/>
      <c r="H42" s="16"/>
      <c r="I42" s="15"/>
      <c r="K42" s="16"/>
      <c r="L42" s="15"/>
      <c r="N42" s="16"/>
      <c r="O42" s="15"/>
      <c r="Q42" s="16"/>
      <c r="R42" s="15"/>
      <c r="T42" s="16"/>
      <c r="W42" s="16"/>
      <c r="X42" s="2"/>
      <c r="Y4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3" spans="5:25" ht="13.5" customHeight="1" x14ac:dyDescent="0.25">
      <c r="E43" s="1"/>
      <c r="F43" s="15"/>
      <c r="H43" s="16"/>
      <c r="I43" s="15"/>
      <c r="K43" s="16"/>
      <c r="L43" s="15"/>
      <c r="N43" s="16"/>
      <c r="O43" s="15"/>
      <c r="Q43" s="16"/>
      <c r="R43" s="15"/>
      <c r="T43" s="16"/>
      <c r="W43" s="16"/>
      <c r="X43" s="2"/>
      <c r="Y4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4" spans="5:25" ht="13.5" customHeight="1" x14ac:dyDescent="0.25">
      <c r="E44" s="1"/>
      <c r="F44" s="15"/>
      <c r="H44" s="16"/>
      <c r="I44" s="15"/>
      <c r="K44" s="16"/>
      <c r="L44" s="15"/>
      <c r="N44" s="16"/>
      <c r="O44" s="15"/>
      <c r="Q44" s="16"/>
      <c r="R44" s="15"/>
      <c r="T44" s="16"/>
      <c r="W44" s="16"/>
      <c r="X44" s="2"/>
      <c r="Y4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5" spans="5:25" ht="13.5" customHeight="1" x14ac:dyDescent="0.25">
      <c r="E45" s="1"/>
      <c r="F45" s="15"/>
      <c r="H45" s="16"/>
      <c r="I45" s="15"/>
      <c r="K45" s="16"/>
      <c r="L45" s="15"/>
      <c r="N45" s="16"/>
      <c r="O45" s="15"/>
      <c r="Q45" s="16"/>
      <c r="R45" s="15"/>
      <c r="T45" s="16"/>
      <c r="W45" s="16"/>
      <c r="X45" s="2"/>
      <c r="Y4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6" spans="5:25" ht="13.5" customHeight="1" x14ac:dyDescent="0.25">
      <c r="E46" s="1"/>
      <c r="F46" s="15"/>
      <c r="H46" s="16"/>
      <c r="I46" s="15"/>
      <c r="K46" s="16"/>
      <c r="L46" s="15"/>
      <c r="N46" s="16"/>
      <c r="O46" s="15"/>
      <c r="Q46" s="16"/>
      <c r="R46" s="15"/>
      <c r="T46" s="16"/>
      <c r="W46" s="16"/>
      <c r="X46" s="2"/>
      <c r="Y4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7" spans="5:25" ht="13.5" customHeight="1" x14ac:dyDescent="0.25">
      <c r="E47" s="1"/>
      <c r="F47" s="15"/>
      <c r="H47" s="16"/>
      <c r="I47" s="15"/>
      <c r="K47" s="16"/>
      <c r="L47" s="15"/>
      <c r="N47" s="16"/>
      <c r="O47" s="15"/>
      <c r="Q47" s="16"/>
      <c r="R47" s="15"/>
      <c r="T47" s="16"/>
      <c r="W47" s="16"/>
      <c r="X47" s="2"/>
      <c r="Y4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8" spans="5:25" ht="13.5" customHeight="1" x14ac:dyDescent="0.25">
      <c r="E48" s="1"/>
      <c r="F48" s="15"/>
      <c r="H48" s="16"/>
      <c r="I48" s="15"/>
      <c r="K48" s="16"/>
      <c r="L48" s="15"/>
      <c r="N48" s="16"/>
      <c r="O48" s="15"/>
      <c r="Q48" s="16"/>
      <c r="R48" s="15"/>
      <c r="T48" s="16"/>
      <c r="W48" s="16"/>
      <c r="X48" s="2"/>
      <c r="Y4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49" spans="5:25" ht="13.5" customHeight="1" x14ac:dyDescent="0.25">
      <c r="E49" s="1"/>
      <c r="F49" s="15"/>
      <c r="H49" s="16"/>
      <c r="I49" s="15"/>
      <c r="K49" s="16"/>
      <c r="L49" s="15"/>
      <c r="N49" s="16"/>
      <c r="O49" s="15"/>
      <c r="Q49" s="16"/>
      <c r="R49" s="15"/>
      <c r="T49" s="16"/>
      <c r="W49" s="16"/>
      <c r="X49" s="2"/>
      <c r="Y4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0" spans="5:25" ht="13.5" customHeight="1" x14ac:dyDescent="0.25">
      <c r="E50" s="1"/>
      <c r="F50" s="15"/>
      <c r="H50" s="16"/>
      <c r="I50" s="15"/>
      <c r="K50" s="16"/>
      <c r="L50" s="15"/>
      <c r="N50" s="16"/>
      <c r="O50" s="15"/>
      <c r="Q50" s="16"/>
      <c r="R50" s="15"/>
      <c r="T50" s="16"/>
      <c r="W50" s="16"/>
      <c r="X50" s="2"/>
      <c r="Y5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1" spans="5:25" ht="13.5" customHeight="1" x14ac:dyDescent="0.25">
      <c r="E51" s="1"/>
      <c r="F51" s="15"/>
      <c r="H51" s="16"/>
      <c r="I51" s="15"/>
      <c r="K51" s="16"/>
      <c r="L51" s="15"/>
      <c r="N51" s="16"/>
      <c r="O51" s="15"/>
      <c r="Q51" s="16"/>
      <c r="R51" s="15"/>
      <c r="T51" s="16"/>
      <c r="W51" s="16"/>
      <c r="X51" s="2"/>
      <c r="Y5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2" spans="5:25" ht="13.5" customHeight="1" x14ac:dyDescent="0.25">
      <c r="E52" s="1"/>
      <c r="F52" s="15"/>
      <c r="H52" s="16"/>
      <c r="I52" s="15"/>
      <c r="K52" s="16"/>
      <c r="L52" s="15"/>
      <c r="N52" s="16"/>
      <c r="O52" s="15"/>
      <c r="Q52" s="16"/>
      <c r="R52" s="15"/>
      <c r="T52" s="16"/>
      <c r="W52" s="16"/>
      <c r="X52" s="2"/>
      <c r="Y5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3" spans="5:25" ht="13.5" customHeight="1" x14ac:dyDescent="0.25">
      <c r="E53" s="1"/>
      <c r="F53" s="15"/>
      <c r="H53" s="16"/>
      <c r="I53" s="15"/>
      <c r="K53" s="16"/>
      <c r="L53" s="15"/>
      <c r="N53" s="16"/>
      <c r="O53" s="15"/>
      <c r="Q53" s="16"/>
      <c r="R53" s="15"/>
      <c r="T53" s="16"/>
      <c r="W53" s="16"/>
      <c r="X53" s="2"/>
      <c r="Y5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4" spans="5:25" ht="13.5" customHeight="1" x14ac:dyDescent="0.25">
      <c r="E54" s="1"/>
      <c r="F54" s="15"/>
      <c r="H54" s="16"/>
      <c r="I54" s="15"/>
      <c r="K54" s="16"/>
      <c r="L54" s="15"/>
      <c r="N54" s="16"/>
      <c r="O54" s="15"/>
      <c r="Q54" s="16"/>
      <c r="R54" s="15"/>
      <c r="T54" s="16"/>
      <c r="W54" s="16"/>
      <c r="X54" s="2"/>
      <c r="Y5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5" spans="5:25" ht="13.5" customHeight="1" x14ac:dyDescent="0.25">
      <c r="E55" s="1"/>
      <c r="F55" s="15"/>
      <c r="H55" s="16"/>
      <c r="I55" s="15"/>
      <c r="K55" s="16"/>
      <c r="L55" s="15"/>
      <c r="N55" s="16"/>
      <c r="O55" s="15"/>
      <c r="Q55" s="16"/>
      <c r="R55" s="15"/>
      <c r="T55" s="16"/>
      <c r="W55" s="16"/>
      <c r="X55" s="35"/>
      <c r="Y5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6" spans="5:25" ht="13.5" customHeight="1" x14ac:dyDescent="0.25">
      <c r="E56" s="1"/>
      <c r="F56" s="15"/>
      <c r="H56" s="16"/>
      <c r="I56" s="15"/>
      <c r="K56" s="16"/>
      <c r="L56" s="15"/>
      <c r="N56" s="16"/>
      <c r="O56" s="15"/>
      <c r="Q56" s="16"/>
      <c r="R56" s="15"/>
      <c r="T56" s="16"/>
      <c r="W56" s="16"/>
      <c r="X56" s="35"/>
      <c r="Y5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7" spans="5:25" ht="13.5" customHeight="1" x14ac:dyDescent="0.25">
      <c r="E57" s="1"/>
      <c r="F57" s="15"/>
      <c r="H57" s="16"/>
      <c r="I57" s="15"/>
      <c r="K57" s="16"/>
      <c r="L57" s="15"/>
      <c r="N57" s="16"/>
      <c r="O57" s="15"/>
      <c r="Q57" s="16"/>
      <c r="R57" s="15"/>
      <c r="T57" s="16"/>
      <c r="W57" s="16"/>
      <c r="X57" s="2"/>
      <c r="Y5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8" spans="5:25" ht="13.5" customHeight="1" x14ac:dyDescent="0.25">
      <c r="E58" s="1"/>
      <c r="F58" s="15"/>
      <c r="H58" s="16"/>
      <c r="I58" s="15"/>
      <c r="K58" s="16"/>
      <c r="L58" s="15"/>
      <c r="N58" s="16"/>
      <c r="O58" s="15"/>
      <c r="Q58" s="16"/>
      <c r="R58" s="15"/>
      <c r="T58" s="16"/>
      <c r="W58" s="16"/>
      <c r="X58" s="2"/>
      <c r="Y5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59" spans="5:25" ht="13.5" customHeight="1" x14ac:dyDescent="0.25">
      <c r="E59" s="1"/>
      <c r="F59" s="15"/>
      <c r="H59" s="16"/>
      <c r="I59" s="15"/>
      <c r="K59" s="16"/>
      <c r="L59" s="15"/>
      <c r="N59" s="16"/>
      <c r="O59" s="15"/>
      <c r="Q59" s="16"/>
      <c r="R59" s="15"/>
      <c r="T59" s="16"/>
      <c r="W59" s="16"/>
      <c r="X59" s="2"/>
      <c r="Y5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0" spans="5:25" ht="13.5" customHeight="1" x14ac:dyDescent="0.25">
      <c r="E60" s="1"/>
      <c r="F60" s="15"/>
      <c r="H60" s="16"/>
      <c r="I60" s="15"/>
      <c r="K60" s="16"/>
      <c r="L60" s="15"/>
      <c r="N60" s="16"/>
      <c r="O60" s="15"/>
      <c r="Q60" s="16"/>
      <c r="R60" s="15"/>
      <c r="T60" s="16"/>
      <c r="W60" s="16"/>
      <c r="X60" s="2"/>
      <c r="Y6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1" spans="5:25" ht="13.5" customHeight="1" x14ac:dyDescent="0.25">
      <c r="E61" s="1"/>
      <c r="F61" s="15"/>
      <c r="H61" s="16"/>
      <c r="I61" s="15"/>
      <c r="K61" s="16"/>
      <c r="L61" s="15"/>
      <c r="N61" s="16"/>
      <c r="O61" s="15"/>
      <c r="Q61" s="16"/>
      <c r="R61" s="15"/>
      <c r="T61" s="16"/>
      <c r="W61" s="16"/>
      <c r="X61" s="2"/>
      <c r="Y61">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2" spans="5:25" ht="13.5" customHeight="1" x14ac:dyDescent="0.25">
      <c r="E62" s="1"/>
      <c r="F62" s="15"/>
      <c r="H62" s="16"/>
      <c r="I62" s="15"/>
      <c r="K62" s="16"/>
      <c r="L62" s="15"/>
      <c r="N62" s="16"/>
      <c r="O62" s="15"/>
      <c r="Q62" s="16"/>
      <c r="R62" s="15"/>
      <c r="T62" s="16"/>
      <c r="W62" s="16"/>
      <c r="X62" s="2"/>
      <c r="Y62">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3" spans="5:25" ht="13.5" customHeight="1" x14ac:dyDescent="0.25">
      <c r="E63" s="1"/>
      <c r="F63" s="15"/>
      <c r="H63" s="16"/>
      <c r="I63" s="15"/>
      <c r="K63" s="16"/>
      <c r="L63" s="15"/>
      <c r="N63" s="16"/>
      <c r="O63" s="15"/>
      <c r="Q63" s="16"/>
      <c r="R63" s="15"/>
      <c r="T63" s="16"/>
      <c r="W63" s="16"/>
      <c r="X63" s="2"/>
      <c r="Y63">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4" spans="5:25" ht="13.5" customHeight="1" x14ac:dyDescent="0.25">
      <c r="E64" s="1"/>
      <c r="F64" s="15"/>
      <c r="H64" s="16"/>
      <c r="I64" s="15"/>
      <c r="K64" s="16"/>
      <c r="L64" s="15"/>
      <c r="N64" s="16"/>
      <c r="O64" s="15"/>
      <c r="Q64" s="16"/>
      <c r="R64" s="15"/>
      <c r="T64" s="16"/>
      <c r="W64" s="16"/>
      <c r="X64" s="2"/>
      <c r="Y64">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5" spans="5:25" x14ac:dyDescent="0.25">
      <c r="E65" s="1"/>
      <c r="F65" s="15"/>
      <c r="H65" s="16"/>
      <c r="I65" s="15"/>
      <c r="K65" s="16"/>
      <c r="L65" s="15"/>
      <c r="N65" s="16"/>
      <c r="O65" s="15"/>
      <c r="Q65" s="16"/>
      <c r="R65" s="15"/>
      <c r="T65" s="16"/>
      <c r="W65" s="16"/>
      <c r="X65" s="2"/>
      <c r="Y65">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6" spans="5:25" x14ac:dyDescent="0.25">
      <c r="E66" s="1"/>
      <c r="F66" s="15"/>
      <c r="H66" s="16"/>
      <c r="I66" s="15"/>
      <c r="K66" s="16"/>
      <c r="L66" s="15"/>
      <c r="N66" s="16"/>
      <c r="O66" s="15"/>
      <c r="Q66" s="16"/>
      <c r="R66" s="15"/>
      <c r="T66" s="16"/>
      <c r="W66" s="16"/>
      <c r="X66" s="2"/>
      <c r="Y66">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7" spans="5:25" x14ac:dyDescent="0.25">
      <c r="E67" s="1"/>
      <c r="F67" s="15"/>
      <c r="H67" s="16"/>
      <c r="I67" s="15"/>
      <c r="K67" s="16"/>
      <c r="L67" s="15"/>
      <c r="N67" s="16"/>
      <c r="O67" s="15"/>
      <c r="Q67" s="16"/>
      <c r="R67" s="15"/>
      <c r="T67" s="16"/>
      <c r="W67" s="16"/>
      <c r="X67" s="35"/>
      <c r="Y67">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8" spans="5:25" x14ac:dyDescent="0.25">
      <c r="E68" s="1"/>
      <c r="F68" s="15"/>
      <c r="H68" s="16"/>
      <c r="I68" s="15"/>
      <c r="K68" s="16"/>
      <c r="L68" s="15"/>
      <c r="N68" s="16"/>
      <c r="O68" s="15"/>
      <c r="Q68" s="16"/>
      <c r="R68" s="15"/>
      <c r="T68" s="16"/>
      <c r="W68" s="16"/>
      <c r="X68" s="2"/>
      <c r="Y68">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69" spans="5:25" x14ac:dyDescent="0.25">
      <c r="E69" s="1"/>
      <c r="F69" s="15"/>
      <c r="H69" s="16"/>
      <c r="I69" s="15"/>
      <c r="K69" s="16"/>
      <c r="L69" s="15"/>
      <c r="N69" s="16"/>
      <c r="O69" s="15"/>
      <c r="Q69" s="16"/>
      <c r="R69" s="15"/>
      <c r="T69" s="16"/>
      <c r="W69" s="16"/>
      <c r="X69" s="2"/>
      <c r="Y69">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row r="70" spans="5:25" x14ac:dyDescent="0.25">
      <c r="E70" s="1"/>
      <c r="F70" s="15"/>
      <c r="H70" s="16"/>
      <c r="I70" s="15"/>
      <c r="K70" s="16"/>
      <c r="L70" s="15"/>
      <c r="N70" s="16"/>
      <c r="O70" s="15"/>
      <c r="Q70" s="16"/>
      <c r="R70" s="15"/>
      <c r="T70" s="16"/>
      <c r="W70" s="16"/>
      <c r="X70" s="2"/>
      <c r="Y70">
        <f>IF(Liste[Vorname1]&lt;&gt;"",reg,0)+IF(Liste[Vorname2]&lt;&gt;"",regweitere,0)+IF(Liste[Vorname3]&lt;&gt;"",regweitere,0)+IF(Liste[Vorname4]&lt;&gt;"",regweitere,0)+IF(Liste[Vorname5]&lt;&gt;"",regweitere,0)+IF(Liste[Vorname6]&lt;&gt;"",regweitere,0)+(IF(AND(Liste[Vorname1]&lt;&gt;"",Liste[Ermäßigt1]=""),mitglbeitrag,0)+IF(AND(Liste[Vorname2]&lt;&gt;"",Liste[Ermäßigt2]=""),mitglbeitragweitere,0))/teiler+IF(Liste[Einschreib1]&lt;&gt;"",einschreibgeb,0)+IF(Liste[Einschreib2]&lt;&gt;"",einschreibgeb,0)+IF(Liste[Einschreib3]&lt;&gt;"",einschreibgeb,0)+IF(Liste[Einschreib4]&lt;&gt;"",einschreibgeb,0)+IF(Liste[Einschreib5]&lt;&gt;"",einschreibgeb,0)+IF(Liste[Einschreib6]&lt;&gt;"",einschreibgeb,0)</f>
        <v>0</v>
      </c>
    </row>
  </sheetData>
  <dataValidations disablePrompts="1" count="2">
    <dataValidation type="list" allowBlank="1" showInputMessage="1" showErrorMessage="1" sqref="Z4" xr:uid="{00000000-0002-0000-0200-000000000000}">
      <formula1>"Ja,Nein"</formula1>
    </dataValidation>
    <dataValidation type="list" allowBlank="1" showInputMessage="1" showErrorMessage="1" sqref="Z19" xr:uid="{00000000-0002-0000-0200-000001000000}">
      <formula1>"Nachname/Plz,Strasse/Plz"</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odul1.DatenÜbernehmen">
                <anchor moveWithCells="1" sizeWithCells="1">
                  <from>
                    <xdr:col>24</xdr:col>
                    <xdr:colOff>19050</xdr:colOff>
                    <xdr:row>0</xdr:row>
                    <xdr:rowOff>0</xdr:rowOff>
                  </from>
                  <to>
                    <xdr:col>27</xdr:col>
                    <xdr:colOff>28575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Pict="0" macro="[0]!inGitSpeichern">
                <anchor moveWithCells="1" sizeWithCells="1">
                  <from>
                    <xdr:col>25</xdr:col>
                    <xdr:colOff>19050</xdr:colOff>
                    <xdr:row>20</xdr:row>
                    <xdr:rowOff>0</xdr:rowOff>
                  </from>
                  <to>
                    <xdr:col>27</xdr:col>
                    <xdr:colOff>161925</xdr:colOff>
                    <xdr:row>21</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Z13"/>
  <sheetViews>
    <sheetView workbookViewId="0">
      <selection activeCell="B7" sqref="B7"/>
    </sheetView>
  </sheetViews>
  <sheetFormatPr baseColWidth="10" defaultRowHeight="15" customHeight="1" x14ac:dyDescent="0.25"/>
  <cols>
    <col min="1" max="1" width="26" bestFit="1" customWidth="1"/>
    <col min="5" max="5" width="18.42578125" bestFit="1" customWidth="1"/>
    <col min="6" max="6" width="18.42578125" customWidth="1"/>
    <col min="7" max="7" width="29.140625" customWidth="1"/>
    <col min="8" max="8" width="22.140625" customWidth="1"/>
  </cols>
  <sheetData>
    <row r="1" spans="1:26" ht="15" customHeight="1" x14ac:dyDescent="0.25">
      <c r="A1" t="s">
        <v>0</v>
      </c>
      <c r="B1" s="2">
        <v>70</v>
      </c>
      <c r="D1" s="17" t="s">
        <v>13</v>
      </c>
      <c r="E1" s="18" t="s">
        <v>43</v>
      </c>
      <c r="F1" s="18" t="s">
        <v>88</v>
      </c>
      <c r="G1" t="s">
        <v>93</v>
      </c>
      <c r="H1" s="31" t="s">
        <v>76</v>
      </c>
      <c r="I1" s="19" t="s">
        <v>70</v>
      </c>
      <c r="J1" s="18" t="s">
        <v>31</v>
      </c>
      <c r="K1" s="20"/>
      <c r="L1" s="19" t="s">
        <v>71</v>
      </c>
      <c r="M1" s="21" t="s">
        <v>31</v>
      </c>
      <c r="N1" s="21"/>
      <c r="O1" s="19"/>
      <c r="P1" s="18"/>
      <c r="Q1" s="20"/>
      <c r="R1" s="19"/>
      <c r="S1" s="18"/>
      <c r="T1" s="20"/>
      <c r="U1" s="19"/>
      <c r="V1" s="18"/>
      <c r="W1" s="20"/>
      <c r="X1" s="18"/>
      <c r="Y1" s="18"/>
      <c r="Z1" s="22"/>
    </row>
    <row r="2" spans="1:26" ht="15" customHeight="1" x14ac:dyDescent="0.25">
      <c r="A2" t="s">
        <v>26</v>
      </c>
      <c r="B2" s="2">
        <v>35</v>
      </c>
      <c r="D2" s="23" t="s">
        <v>14</v>
      </c>
      <c r="E2" s="24" t="s">
        <v>44</v>
      </c>
      <c r="F2" s="24" t="s">
        <v>89</v>
      </c>
      <c r="G2" t="s">
        <v>94</v>
      </c>
      <c r="H2" s="31" t="s">
        <v>77</v>
      </c>
      <c r="I2" s="25" t="s">
        <v>66</v>
      </c>
      <c r="J2" s="24"/>
      <c r="K2" s="26" t="s">
        <v>30</v>
      </c>
      <c r="L2" s="25"/>
      <c r="M2" s="24"/>
      <c r="N2" s="24"/>
      <c r="O2" s="25"/>
      <c r="P2" s="24"/>
      <c r="Q2" s="26"/>
      <c r="R2" s="25"/>
      <c r="S2" s="24"/>
      <c r="T2" s="26"/>
      <c r="U2" s="25"/>
      <c r="V2" s="24"/>
      <c r="W2" s="26"/>
      <c r="X2" s="24"/>
      <c r="Y2" s="24"/>
      <c r="Z2" s="27"/>
    </row>
    <row r="3" spans="1:26" ht="15" customHeight="1" x14ac:dyDescent="0.25">
      <c r="A3" t="s">
        <v>81</v>
      </c>
      <c r="B3" s="33">
        <v>2</v>
      </c>
      <c r="D3" s="17" t="s">
        <v>21</v>
      </c>
      <c r="E3" s="18" t="s">
        <v>45</v>
      </c>
      <c r="F3" s="18" t="s">
        <v>90</v>
      </c>
      <c r="G3" t="s">
        <v>95</v>
      </c>
      <c r="H3" s="31" t="s">
        <v>78</v>
      </c>
      <c r="I3" s="19" t="s">
        <v>67</v>
      </c>
      <c r="J3" s="18"/>
      <c r="K3" s="20" t="s">
        <v>30</v>
      </c>
      <c r="L3" s="19"/>
      <c r="M3" s="18"/>
      <c r="N3" s="18"/>
      <c r="O3" s="19"/>
      <c r="P3" s="18"/>
      <c r="Q3" s="20"/>
      <c r="R3" s="19"/>
      <c r="S3" s="18"/>
      <c r="T3" s="20"/>
      <c r="U3" s="19"/>
      <c r="V3" s="18"/>
      <c r="W3" s="20"/>
      <c r="X3" s="18"/>
      <c r="Y3" s="18"/>
      <c r="Z3" s="22"/>
    </row>
    <row r="4" spans="1:26" ht="15" customHeight="1" x14ac:dyDescent="0.25">
      <c r="A4" t="s">
        <v>1</v>
      </c>
      <c r="B4" s="2">
        <v>28</v>
      </c>
      <c r="D4" s="23" t="s">
        <v>13</v>
      </c>
      <c r="E4" s="24" t="s">
        <v>74</v>
      </c>
      <c r="F4" s="24" t="s">
        <v>91</v>
      </c>
      <c r="G4" t="s">
        <v>97</v>
      </c>
      <c r="H4" s="31" t="s">
        <v>79</v>
      </c>
      <c r="I4" s="25" t="s">
        <v>68</v>
      </c>
      <c r="J4" s="24"/>
      <c r="K4" s="26" t="s">
        <v>30</v>
      </c>
      <c r="L4" s="25" t="s">
        <v>69</v>
      </c>
      <c r="M4" s="24"/>
      <c r="N4" s="24"/>
      <c r="O4" s="25"/>
      <c r="P4" s="24"/>
      <c r="Q4" s="26"/>
      <c r="R4" s="25"/>
      <c r="S4" s="24"/>
      <c r="T4" s="26"/>
      <c r="U4" s="25"/>
      <c r="V4" s="24"/>
      <c r="W4" s="26"/>
      <c r="X4" s="24"/>
      <c r="Y4" s="24"/>
      <c r="Z4" s="27"/>
    </row>
    <row r="5" spans="1:26" ht="15" customHeight="1" x14ac:dyDescent="0.25">
      <c r="A5" t="s">
        <v>2</v>
      </c>
      <c r="B5" s="2">
        <v>16.5</v>
      </c>
      <c r="D5" s="17" t="s">
        <v>13</v>
      </c>
      <c r="E5" s="18" t="s">
        <v>72</v>
      </c>
      <c r="F5" s="18" t="s">
        <v>92</v>
      </c>
      <c r="G5" t="s">
        <v>96</v>
      </c>
      <c r="H5" s="31" t="s">
        <v>80</v>
      </c>
      <c r="I5" s="19" t="s">
        <v>73</v>
      </c>
      <c r="J5" s="18"/>
      <c r="K5" s="20"/>
      <c r="L5" s="19"/>
      <c r="M5" s="18"/>
      <c r="N5" s="18"/>
      <c r="O5" s="19"/>
      <c r="P5" s="18"/>
      <c r="Q5" s="20"/>
      <c r="R5" s="19"/>
      <c r="S5" s="18"/>
      <c r="T5" s="20"/>
      <c r="U5" s="19"/>
      <c r="V5" s="18"/>
      <c r="W5" s="20"/>
      <c r="X5" s="18"/>
      <c r="Y5" s="18"/>
      <c r="Z5" s="22"/>
    </row>
    <row r="6" spans="1:26" ht="15" customHeight="1" x14ac:dyDescent="0.25">
      <c r="A6" t="s">
        <v>3</v>
      </c>
      <c r="B6" s="2">
        <v>25</v>
      </c>
    </row>
    <row r="7" spans="1:26" ht="15" customHeight="1" x14ac:dyDescent="0.25">
      <c r="A7" t="s">
        <v>99</v>
      </c>
      <c r="B7" t="s">
        <v>112</v>
      </c>
    </row>
    <row r="8" spans="1:26" ht="15" customHeight="1" x14ac:dyDescent="0.25">
      <c r="A8" t="s">
        <v>4</v>
      </c>
      <c r="B8" t="s">
        <v>46</v>
      </c>
    </row>
    <row r="9" spans="1:26" ht="15" customHeight="1" x14ac:dyDescent="0.25">
      <c r="A9" t="s">
        <v>5</v>
      </c>
      <c r="B9" t="s">
        <v>47</v>
      </c>
    </row>
    <row r="10" spans="1:26" ht="15" customHeight="1" x14ac:dyDescent="0.25">
      <c r="A10" t="s">
        <v>16</v>
      </c>
      <c r="B10" t="s">
        <v>48</v>
      </c>
    </row>
    <row r="11" spans="1:26" ht="15" customHeight="1" x14ac:dyDescent="0.25">
      <c r="A11" t="s">
        <v>32</v>
      </c>
      <c r="B11" t="s">
        <v>49</v>
      </c>
    </row>
    <row r="12" spans="1:26" ht="15" customHeight="1" x14ac:dyDescent="0.25">
      <c r="A12" t="s">
        <v>33</v>
      </c>
      <c r="B12">
        <v>123456789</v>
      </c>
    </row>
    <row r="13" spans="1:26" ht="15" customHeight="1" x14ac:dyDescent="0.25">
      <c r="A13" t="s">
        <v>34</v>
      </c>
      <c r="B13" t="s">
        <v>50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53</vt:i4>
      </vt:variant>
    </vt:vector>
  </HeadingPairs>
  <TitlesOfParts>
    <vt:vector size="57" baseType="lpstr">
      <vt:lpstr>Brief</vt:lpstr>
      <vt:lpstr>Parameter</vt:lpstr>
      <vt:lpstr>Liste</vt:lpstr>
      <vt:lpstr>Beispiel</vt:lpstr>
      <vt:lpstr>adresse</vt:lpstr>
      <vt:lpstr>anrede</vt:lpstr>
      <vt:lpstr>anzEinschreib</vt:lpstr>
      <vt:lpstr>anzKinder</vt:lpstr>
      <vt:lpstr>anzMitgl</vt:lpstr>
      <vt:lpstr>AufnahmeJahr</vt:lpstr>
      <vt:lpstr>bank</vt:lpstr>
      <vt:lpstr>bodymsg</vt:lpstr>
      <vt:lpstr>ccrecipient</vt:lpstr>
      <vt:lpstr>CheckSumme</vt:lpstr>
      <vt:lpstr>datenträger</vt:lpstr>
      <vt:lpstr>Brief!Druckbereich</vt:lpstr>
      <vt:lpstr>einschreibgeb</vt:lpstr>
      <vt:lpstr>einschreibsumme</vt:lpstr>
      <vt:lpstr>Erinnerung</vt:lpstr>
      <vt:lpstr>ermässigt</vt:lpstr>
      <vt:lpstr>exportfile</vt:lpstr>
      <vt:lpstr>FunktionenErwMitglieder</vt:lpstr>
      <vt:lpstr>gebührgesamt</vt:lpstr>
      <vt:lpstr>gitOrdner</vt:lpstr>
      <vt:lpstr>GruppierenNach</vt:lpstr>
      <vt:lpstr>konto</vt:lpstr>
      <vt:lpstr>kopfname</vt:lpstr>
      <vt:lpstr>lautend_auf</vt:lpstr>
      <vt:lpstr>LeiterÜbernehmen</vt:lpstr>
      <vt:lpstr>mailcmd</vt:lpstr>
      <vt:lpstr>mailpwd</vt:lpstr>
      <vt:lpstr>mailuser</vt:lpstr>
      <vt:lpstr>maxAnzahlMglBtr</vt:lpstr>
      <vt:lpstr>mglbeitragsumme</vt:lpstr>
      <vt:lpstr>mitglbeitrag</vt:lpstr>
      <vt:lpstr>mitglbeitragweitere</vt:lpstr>
      <vt:lpstr>nachreg</vt:lpstr>
      <vt:lpstr>neuregistrierungAb</vt:lpstr>
      <vt:lpstr>pfadis</vt:lpstr>
      <vt:lpstr>QRCode</vt:lpstr>
      <vt:lpstr>recipient</vt:lpstr>
      <vt:lpstr>referenz</vt:lpstr>
      <vt:lpstr>reg</vt:lpstr>
      <vt:lpstr>regsumme</vt:lpstr>
      <vt:lpstr>regweitere</vt:lpstr>
      <vt:lpstr>subject</vt:lpstr>
      <vt:lpstr>teiler</vt:lpstr>
      <vt:lpstr>testkonto</vt:lpstr>
      <vt:lpstr>testmail</vt:lpstr>
      <vt:lpstr>texteinschreib</vt:lpstr>
      <vt:lpstr>textmglb</vt:lpstr>
      <vt:lpstr>textreg</vt:lpstr>
      <vt:lpstr>vorAnzahlKinder</vt:lpstr>
      <vt:lpstr>www</vt:lpstr>
      <vt:lpstr>zeilenindex</vt:lpstr>
      <vt:lpstr>zustext</vt:lpstr>
      <vt:lpstr>zvrzahl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roland kapl</dc:creator>
  <cp:lastModifiedBy>roland kapl</cp:lastModifiedBy>
  <cp:lastPrinted>2019-05-30T12:30:43Z</cp:lastPrinted>
  <dcterms:created xsi:type="dcterms:W3CDTF">2018-11-03T22:12:52Z</dcterms:created>
  <dcterms:modified xsi:type="dcterms:W3CDTF">2019-06-19T20:11:53Z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ec5bffa3-4835-416f-a61f-b81acebd7641</vt:lpwstr>
  </property>
</Properties>
</file>