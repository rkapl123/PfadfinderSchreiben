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30" windowHeight="11310" tabRatio="481" activeTab="2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7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6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>
  <authors>
    <author>roland kapl</author>
  </authors>
  <commentList>
    <comment ref="E10" authorId="0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<sst xmlns="http://schemas.openxmlformats.org/spreadsheetml/2006/main" count="125" uniqueCount="87">
  <si>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</si>
  <si>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</si>
  <si>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</si>
  <si>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</si>
  <si>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</si>
  <si>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</si>
  <si>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</si>
  <si>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</si>
  <si>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</si>
  <si>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</si>
  <si>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</si>
  <si>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</si>
  <si>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</si>
  <si>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</si>
  <si>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</si>
  <si>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</si>
  <si>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</si>
  <si>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</si>
  <si>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</si>
  <si>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</si>
  <si>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</si>
  <si>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</si>
  <si>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</si>
  <si>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</si>
  <si>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</si>
  <si>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</si>
  <si>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</si>
  <si>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</si>
  <si>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</si>
  <si>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</si>
  <si>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</si>
  <si>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</si>
  <si>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</si>
  <si>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</si>
  <si>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</si>
  <si>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</si>
  <si>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</si>
  <si>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</si>
  <si>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</si>
  <si>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</si>
  <si>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</si>
  <si>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</si>
  <si>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</si>
  <si>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</si>
  <si>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</si>
  <si>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</si>
  <si>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</si>
  <si>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</si>
  <si>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</si>
  <si>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</si>
  <si>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</si>
  <si>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</si>
  <si>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</si>
  <si>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</si>
  <si>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</si>
  <si>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</si>
  <si>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</si>
  <si>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</si>
  <si>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</si>
  <si>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</si>
  <si>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</si>
  <si>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</si>
  <si>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</si>
  <si>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</si>
  <si>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</si>
  <si>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</si>
  <si>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</si>
  <si>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</si>
  <si>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</si>
  <si>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</si>
  <si>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</si>
  <si>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Musterstrasse 8/15, 4711 Musterhausen</t>
  </si>
  <si>
    <t>Mustergasse 1/2, 4711 Musterhausen</t>
  </si>
  <si>
    <t>Musterplatz 1, 4711 Musterhausen</t>
  </si>
  <si>
    <t>Musterallee 7, 4711 Musterhausen</t>
  </si>
  <si>
    <t>Musterhof 9, 4711 Musterhausen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</si>
  <si>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</si>
  <si>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</si>
  <si>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</si>
  <si>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</si>
  <si>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</si>
  <si>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</si>
  <si>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</si>
  <si>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</si>
  <si>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</si>
  <si>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Pfadijahr beginnt:</t>
  </si>
  <si>
    <t>Nachname/Plz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</si>
</sst>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</cellXfs>
  <cellStyles count="2">
    <cellStyle name="Hyper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ev\PfadfinderSchreiben\trunk\excel_temp.png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26</xdr:row>
      <xdr:rowOff>135652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1819275</xdr:colOff>
      <xdr:row>26</xdr:row>
      <xdr:rowOff>0</xdr:rowOff>
    </xdr:to>
    <xdr:pic>
      <xdr:nvPicPr>
        <xdr:cNvPr id="9" name="QRCODE_ZAHLUNG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7124700"/>
          <a:ext cx="1819275" cy="1819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0</xdr:row>
          <xdr:rowOff>0</xdr:rowOff>
        </xdr:from>
        <xdr:to>
          <xdr:col>23</xdr:col>
          <xdr:colOff>647700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Liste" displayName="Liste" ref="A1:U1048561" totalsRowShown="0">
  <tableColumns count="21">
    <tableColumn id="1" name="Anrede"/>
    <tableColumn id="2" name="Name"/>
    <tableColumn id="21" name="Adresse"/>
    <tableColumn id="3" name="Vorname1" dataDxfId="9"/>
    <tableColumn id="4" name="Einschreib1"/>
    <tableColumn id="12" name="Ermäßigt1" dataDxfId="8"/>
    <tableColumn id="5" name="Vorname2" dataDxfId="7"/>
    <tableColumn id="6" name="Einschreib2"/>
    <tableColumn id="13" name="Ermäßigt2" dataDxfId="6"/>
    <tableColumn id="7" name="Vorname3" dataDxfId="5"/>
    <tableColumn id="8" name="Einschreib3"/>
    <tableColumn id="14" name="Ermäßigt3" dataDxfId="4"/>
    <tableColumn id="9" name="Vorname4" dataDxfId="3"/>
    <tableColumn id="10" name="Einschreib4"/>
    <tableColumn id="15" name="Ermäßigt4" dataDxfId="2"/>
    <tableColumn id="11" name="Vorname5" dataDxfId="1"/>
    <tableColumn id="16" name="Einschreib5"/>
    <tableColumn id="17" name="Ermäßigt5" dataDxfId="0"/>
    <tableColumn id="18" name="Vorname6"/>
    <tableColumn id="19" name="Einschreib6"/>
    <tableColumn id="20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1"/>
  <sheetViews>
    <sheetView view="pageBreakPreview" zoomScale="85" zoomScaleNormal="100" zoomScaleSheetLayoutView="85" workbookViewId="0">
      <selection activeCell="A10" sqref="A10:D10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49.5" customHeight="1" x14ac:dyDescent="0.25">
      <c r="A1" s="7" t="str">
        <f>kopfname</f>
        <v>Gruppe Musterhausen</v>
      </c>
      <c r="B1" s="2"/>
      <c r="F1">
        <v>3</v>
      </c>
      <c r="I1" s="1"/>
      <c r="J1" s="3" t="str">
        <f>"Verband: "&amp;regsumme&amp;";Gruppe:"&amp;mglbeitragsumme&amp;IF(einschreibsumme&gt;0,";Einschreib:"&amp;einschreibsumme,"")</f>
        <v>Verband: 27;Gruppe:0</v>
      </c>
    </row>
    <row r="2" spans="1:10" ht="45" customHeight="1" x14ac:dyDescent="0.25">
      <c r="A2" s="31" t="str">
        <f>anrede</f>
        <v>Frau Musterfrau</v>
      </c>
      <c r="B2" s="2"/>
    </row>
    <row r="3" spans="1:10" x14ac:dyDescent="0.25">
      <c r="A3" t="str">
        <f>INDEX(Liste[Adresse],zeilenindex)</f>
        <v>Musterplatz 1, 4711 Musterhausen</v>
      </c>
      <c r="B3" s="2"/>
      <c r="H3" t="str">
        <f>INDEX(Liste[Anrede],zeilenindex)&amp;" "&amp;INDEX(Liste[Name],zeilenindex)</f>
        <v>Frau Musterfrau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MusterfrauErika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1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0</v>
      </c>
    </row>
    <row r="6" spans="1:10" x14ac:dyDescent="0.25">
      <c r="A6" s="8" t="str">
        <f ca="1">"Mitgliedsbeitrag "&amp;AufnahmeJahr&amp;"/"&amp;RIGHT(AufnahmeJahr+1,2)</f>
        <v>Mitgliedsbeitrag 2018/19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0</v>
      </c>
    </row>
    <row r="7" spans="1:10" x14ac:dyDescent="0.25">
      <c r="B7" s="2"/>
      <c r="H7">
        <f>IF(anzKinder&gt;0,mitglbeitrag+mitglbeitragweitere*(anzKinder-1),0)</f>
        <v>0</v>
      </c>
    </row>
    <row r="8" spans="1:10" x14ac:dyDescent="0.25">
      <c r="A8" t="str">
        <f>"Liebe"&amp;IF(INDEX(Liste[Anrede],zeilenindex)="Herr","r "," ")&amp;anrede&amp;" !"</f>
        <v>Liebe Frau Musterfrau !</v>
      </c>
      <c r="B8" s="2"/>
      <c r="H8">
        <f>IF(anzMitgl&gt;0,reg+regweitere*(anzMitgl-1),0)</f>
        <v>27</v>
      </c>
    </row>
    <row r="9" spans="1:10" x14ac:dyDescent="0.25">
      <c r="E9" t="s">
        <v>67</v>
      </c>
      <c r="H9">
        <f>einschreibgeb*anzEinschreib</f>
        <v>0</v>
      </c>
    </row>
    <row r="10" spans="1:10" ht="136.5" customHeight="1" x14ac:dyDescent="0.25">
      <c r="A10" s="32" t="s">
        <v>31</v>
      </c>
      <c r="B10" s="32"/>
      <c r="C10" s="32"/>
      <c r="D10" s="32"/>
      <c r="E10" s="33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EUR27
MusterfrauErika18/19
Verband: 27;Gruppe:0</v>
      </c>
      <c r="F10" s="34"/>
      <c r="G10" s="35"/>
      <c r="H10">
        <f>SUM(H7:H9)</f>
        <v>27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Erika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Sie ist somit: € 027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027; Gruppenbeiträge 000)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MusterfrauErika18/19 angeben.</v>
      </c>
    </row>
    <row r="22" spans="1:4" x14ac:dyDescent="0.25">
      <c r="A22" t="s">
        <v>15</v>
      </c>
    </row>
    <row r="23" spans="1:4" x14ac:dyDescent="0.25">
      <c r="A23" t="s">
        <v>22</v>
      </c>
    </row>
    <row r="25" spans="1:4" x14ac:dyDescent="0.25">
      <c r="A25" t="s">
        <v>11</v>
      </c>
    </row>
    <row r="26" spans="1:4" ht="143.2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Liste">
    <outlinePr summaryRight="0"/>
  </sheetPr>
  <dimension ref="A1:Y22"/>
  <sheetViews>
    <sheetView tabSelected="1" workbookViewId="0">
      <pane ySplit="1" topLeftCell="A2" activePane="bottomLeft" state="frozen"/>
      <selection pane="bottomLeft" activeCell="AA6" sqref="AA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28515625" hidden="1" customWidth="1" outlineLevel="1"/>
    <col min="21" max="21" width="5.42578125" hidden="1" customWidth="1" outlineLevel="1"/>
    <col min="22" max="22" width="7.85546875" customWidth="1"/>
    <col min="23" max="23" width="13.7109375" customWidth="1"/>
    <col min="24" max="24" width="10" customWidth="1"/>
  </cols>
  <sheetData>
    <row r="1" spans="1:25" x14ac:dyDescent="0.25">
      <c r="A1" t="s">
        <v>12</v>
      </c>
      <c r="B1" t="s">
        <v>6</v>
      </c>
      <c r="C1" t="s">
        <v>69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s="10" t="s">
        <v>68</v>
      </c>
    </row>
    <row r="2" spans="1:25" x14ac:dyDescent="0.25">
      <c r="A2" s="17" t="s">
        <v>13</v>
      </c>
      <c r="B2" s="18" t="s">
        <v>46</v>
      </c>
      <c r="C2" s="18" t="s">
        <v>71</v>
      </c>
      <c r="D2" s="19" t="s">
        <v>80</v>
      </c>
      <c r="E2" s="18" t="s">
        <v>33</v>
      </c>
      <c r="F2" s="20"/>
      <c r="G2" s="19" t="s">
        <v>81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x14ac:dyDescent="0.25">
      <c r="A3" s="23" t="s">
        <v>14</v>
      </c>
      <c r="B3" s="24" t="s">
        <v>47</v>
      </c>
      <c r="C3" s="18" t="s">
        <v>72</v>
      </c>
      <c r="D3" s="25" t="s">
        <v>76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x14ac:dyDescent="0.25">
      <c r="A4" s="17" t="s">
        <v>21</v>
      </c>
      <c r="B4" s="18" t="s">
        <v>48</v>
      </c>
      <c r="C4" s="18" t="s">
        <v>73</v>
      </c>
      <c r="D4" s="19" t="s">
        <v>77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x14ac:dyDescent="0.25">
      <c r="A5" s="23" t="s">
        <v>13</v>
      </c>
      <c r="B5" s="24" t="s">
        <v>84</v>
      </c>
      <c r="C5" s="18" t="s">
        <v>74</v>
      </c>
      <c r="D5" s="25" t="s">
        <v>78</v>
      </c>
      <c r="E5" s="24"/>
      <c r="F5" s="26" t="s">
        <v>32</v>
      </c>
      <c r="G5" s="25" t="s">
        <v>79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85</v>
      </c>
    </row>
    <row r="6" spans="1:25" x14ac:dyDescent="0.25">
      <c r="A6" s="17" t="s">
        <v>13</v>
      </c>
      <c r="B6" s="18" t="s">
        <v>82</v>
      </c>
      <c r="C6" s="18" t="s">
        <v>75</v>
      </c>
      <c r="D6" s="19" t="s">
        <v>83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x14ac:dyDescent="0.25">
      <c r="W7" t="s">
        <v>64</v>
      </c>
    </row>
    <row r="8" spans="1:25" x14ac:dyDescent="0.25">
      <c r="W8" s="10" t="s">
        <v>65</v>
      </c>
      <c r="X8" s="10" t="s">
        <v>66</v>
      </c>
      <c r="Y8" s="10"/>
    </row>
    <row r="9" spans="1:25" x14ac:dyDescent="0.25">
      <c r="W9" t="s">
        <v>63</v>
      </c>
    </row>
    <row r="10" spans="1:25" x14ac:dyDescent="0.25">
      <c r="W10" s="29">
        <f ca="1">DATE(AufnahmeJahr,1,31)</f>
        <v>43131</v>
      </c>
    </row>
    <row r="11" spans="1:25" x14ac:dyDescent="0.25">
      <c r="W11" t="s">
        <v>61</v>
      </c>
    </row>
    <row r="12" spans="1:25" x14ac:dyDescent="0.25">
      <c r="W12" s="10" t="s">
        <v>56</v>
      </c>
    </row>
    <row r="13" spans="1:25" x14ac:dyDescent="0.25">
      <c r="W13" s="10" t="s">
        <v>57</v>
      </c>
    </row>
    <row r="14" spans="1:25" x14ac:dyDescent="0.25">
      <c r="W14" s="10" t="s">
        <v>58</v>
      </c>
    </row>
    <row r="15" spans="1:25" x14ac:dyDescent="0.25">
      <c r="W15" s="10" t="s">
        <v>59</v>
      </c>
    </row>
    <row r="16" spans="1:25" x14ac:dyDescent="0.25">
      <c r="W16" s="10" t="s">
        <v>60</v>
      </c>
    </row>
    <row r="17" spans="23:23" x14ac:dyDescent="0.25">
      <c r="W17" s="10" t="s">
        <v>55</v>
      </c>
    </row>
    <row r="18" spans="23:23" x14ac:dyDescent="0.25">
      <c r="W18" t="s">
        <v>70</v>
      </c>
    </row>
    <row r="19" spans="23:23" x14ac:dyDescent="0.25">
      <c r="W19" s="10" t="s">
        <v>86</v>
      </c>
    </row>
    <row r="22" spans="23:23" x14ac:dyDescent="0.25">
      <c r="W22" t="s">
        <v>45</v>
      </c>
    </row>
  </sheetData>
  <dataValidations count="2">
    <dataValidation type="list" allowBlank="1" showInputMessage="1" showErrorMessage="1" sqref="W4">
      <formula1>"Ja,Nein"</formula1>
    </dataValidation>
    <dataValidation type="list" allowBlank="1" showInputMessage="1" showErrorMessage="1" sqref="W19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104775</xdr:colOff>
                    <xdr:row>0</xdr:row>
                    <xdr:rowOff>0</xdr:rowOff>
                  </from>
                  <to>
                    <xdr:col>23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1:X13"/>
  <sheetViews>
    <sheetView workbookViewId="0">
      <selection activeCell="E4" sqref="E4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x14ac:dyDescent="0.25">
      <c r="B1" s="2">
        <v>70</v>
      </c>
      <c r="D1" s="17" t="s">
        <v>13</v>
      </c>
      <c r="E1" s="18" t="s">
        <v>46</v>
      </c>
      <c r="F1" s="18" t="s">
        <v>71</v>
      </c>
      <c r="G1" s="19" t="s">
        <v>80</v>
      </c>
      <c r="H1" s="18" t="s">
        <v>33</v>
      </c>
      <c r="I1" s="20"/>
      <c r="J1" s="19" t="s">
        <v>81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x14ac:dyDescent="0.25">
      <c r="B2" s="2">
        <v>35</v>
      </c>
      <c r="D2" s="23" t="s">
        <v>14</v>
      </c>
      <c r="E2" s="24" t="s">
        <v>47</v>
      </c>
      <c r="F2" s="18" t="s">
        <v>72</v>
      </c>
      <c r="G2" s="25" t="s">
        <v>76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x14ac:dyDescent="0.25">
      <c r="B3" s="2">
        <v>27</v>
      </c>
      <c r="D3" s="17" t="s">
        <v>21</v>
      </c>
      <c r="E3" s="18" t="s">
        <v>48</v>
      </c>
      <c r="F3" s="18" t="s">
        <v>73</v>
      </c>
      <c r="G3" s="19" t="s">
        <v>77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x14ac:dyDescent="0.25">
      <c r="B4" s="2">
        <v>13.5</v>
      </c>
      <c r="D4" s="23" t="s">
        <v>13</v>
      </c>
      <c r="E4" s="24" t="s">
        <v>84</v>
      </c>
      <c r="F4" s="18" t="s">
        <v>74</v>
      </c>
      <c r="G4" s="25" t="s">
        <v>78</v>
      </c>
      <c r="H4" s="24"/>
      <c r="I4" s="26" t="s">
        <v>32</v>
      </c>
      <c r="J4" s="25" t="s">
        <v>79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x14ac:dyDescent="0.25">
      <c r="B5" s="2">
        <v>25</v>
      </c>
      <c r="D5" s="17" t="s">
        <v>13</v>
      </c>
      <c r="E5" s="18" t="s">
        <v>82</v>
      </c>
      <c r="F5" s="18" t="s">
        <v>75</v>
      </c>
      <c r="G5" s="19" t="s">
        <v>83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2019-03-26T20:55:00Z</cp:lastPrinted>
  <dcterms:created xsi:type="dcterms:W3CDTF">2018-11-03T22:12:52Z</dcterms:created>
  <dcterms:modified xsi:type="dcterms:W3CDTF">2019-03-28T08:58:20Z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