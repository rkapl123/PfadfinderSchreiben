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ev\PfadfinderSchreiben\"/>
    </mc:Choice>
  </mc:AlternateContent>
  <xr:revisionPtr revIDLastSave="0" documentId="13_ncr:1_{F4A341B1-8CD0-4D90-952B-E4B07529E951}" xr6:coauthVersionLast="43" xr6:coauthVersionMax="43" xr10:uidLastSave="{00000000-0000-0000-0000-000000000000}"/>
  <bookViews>
    <workbookView xWindow="-120" yWindow="-120" windowWidth="20730" windowHeight="11310" activeTab="2" xr2:uid="{421875AE-9E43-4A9C-BE85-4FFA29F10D3A}"/>
  </bookViews>
  <sheets>
    <sheet name="Brief" sheetId="1" r:id="rId1"/>
    <sheet name="Parameter" sheetId="2" r:id="rId2"/>
    <sheet name="Liste" sheetId="3" r:id="rId3"/>
    <sheet name="Beispiel" sheetId="4" r:id="rId4"/>
  </sheets>
  <functionGroups builtInGroupCount="19"/>
  <definedNames>
    <definedName name="adresse">Parameter!$B$11</definedName>
    <definedName name="anrede">Brief!$H$3</definedName>
    <definedName name="anzEinschreib">Brief!$H$6</definedName>
    <definedName name="anzKinder">Brief!$I$5</definedName>
    <definedName name="anzMitgl">Brief!$H$5</definedName>
    <definedName name="AufnahmeJahr">Liste!$W$6</definedName>
    <definedName name="bank">Parameter!$B$10</definedName>
    <definedName name="datenträger">Brief!$E$10</definedName>
    <definedName name="_xlnm.Print_Area" localSheetId="0">Brief!$A$1:$D$31</definedName>
    <definedName name="einschreibgeb">Parameter!$B$5</definedName>
    <definedName name="einschreibsumme">Brief!$H$9</definedName>
    <definedName name="ermässigt">Liste!$W$8:$Y$8</definedName>
    <definedName name="exportfile">Liste!$Y$1</definedName>
    <definedName name="FunktionenErwMitglieder">Liste!$W$12:$W$17</definedName>
    <definedName name="gebührgesamt">Brief!$H$10</definedName>
    <definedName name="gitOrdner">Liste!$W$22</definedName>
    <definedName name="GruppierenNach">Liste!$W$19</definedName>
    <definedName name="konto">Parameter!$B$8</definedName>
    <definedName name="kopfname">Parameter!$B$7</definedName>
    <definedName name="lautend_auf">Parameter!$B$9</definedName>
    <definedName name="LeiterÜbernehmen">Liste!$W$4</definedName>
    <definedName name="mglbeitragsumme">Brief!$H$7</definedName>
    <definedName name="mitglbeitrag">Parameter!$B$1</definedName>
    <definedName name="mitglbeitragweitere">Parameter!$B$2</definedName>
    <definedName name="neuregistrierungAb">Liste!$W$10</definedName>
    <definedName name="pfadis">Brief!$H$11</definedName>
    <definedName name="QRCode">Brief!$A$26</definedName>
    <definedName name="referenz">Brief!$H$4</definedName>
    <definedName name="reg">Parameter!$B$3</definedName>
    <definedName name="regsumme">Brief!$H$8</definedName>
    <definedName name="regweitere">Parameter!$B$4</definedName>
    <definedName name="texteinschreib">Brief!$A$15</definedName>
    <definedName name="textmglb">Brief!$K$7</definedName>
    <definedName name="textreg">Brief!$K$8</definedName>
    <definedName name="www">Parameter!$B$13</definedName>
    <definedName name="zeilenindex">Brief!$F$1</definedName>
    <definedName name="zustext">Brief!$J$1</definedName>
    <definedName name="zvrzahl">Parameter!$B$12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5" i="1" l="1"/>
  <c r="H11" i="1"/>
  <c r="H6" i="1"/>
  <c r="H5" i="1"/>
  <c r="H4" i="1"/>
  <c r="A3" i="1"/>
  <c r="H3" i="1"/>
  <c r="A2" i="1" s="1"/>
  <c r="A8" i="1" l="1"/>
  <c r="A17" i="1"/>
  <c r="W6" i="3" l="1"/>
  <c r="A1" i="1"/>
  <c r="D31" i="1"/>
  <c r="D30" i="1"/>
  <c r="A31" i="1"/>
  <c r="A30" i="1"/>
  <c r="A29" i="1"/>
  <c r="D29" i="1"/>
  <c r="A19" i="1" l="1"/>
  <c r="A6" i="1"/>
  <c r="W10" i="3"/>
  <c r="A12" i="1"/>
  <c r="A11" i="1"/>
  <c r="H7" i="1"/>
  <c r="A18" i="1" l="1"/>
  <c r="H9" i="1"/>
  <c r="H8" i="1" l="1"/>
  <c r="A15" i="1" s="1"/>
  <c r="J1" i="1" l="1"/>
  <c r="H10" i="1"/>
  <c r="E10" i="1" l="1"/>
  <c r="A1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roland kapl</author>
  </authors>
  <commentList>
    <comment ref="E10" authorId="0" shapeId="0" xr:uid="{9B2079C0-5EA8-407B-A564-B34DA6804922}">
      <text>
        <r>
          <rPr>
            <b/>
            <sz val="9"/>
            <color indexed="81"/>
            <rFont val="Segoe UI"/>
            <family val="2"/>
          </rPr>
          <t>Keine Umlaute in QR-Code für Banken erlaubt !!</t>
        </r>
      </text>
    </comment>
  </commentList>
</comments>
</file>

<file path=xl/sharedStrings.xml><?xml version="1.0" encoding="utf-8"?>
<sst xmlns="http://schemas.openxmlformats.org/spreadsheetml/2006/main" count="125" uniqueCount="87">
  <si>
    <t>Mitgliedsbeitrag:</t>
  </si>
  <si>
    <t>Registrierung:</t>
  </si>
  <si>
    <t>Registrierung weitere K.:</t>
  </si>
  <si>
    <t>Einschreibgebühr:</t>
  </si>
  <si>
    <t>Pfadfinderkonto:</t>
  </si>
  <si>
    <t>lautend auf:</t>
  </si>
  <si>
    <t>Name</t>
  </si>
  <si>
    <t>Einschreib1</t>
  </si>
  <si>
    <t>Einschreib2</t>
  </si>
  <si>
    <t>Einschreib3</t>
  </si>
  <si>
    <t>Einschreib4</t>
  </si>
  <si>
    <t>Zahlen mit Code:</t>
  </si>
  <si>
    <t>Anrede</t>
  </si>
  <si>
    <t>Familie</t>
  </si>
  <si>
    <t>Herr</t>
  </si>
  <si>
    <t>Vielen Dank für die rasche Überweisung und Gut Pfad,</t>
  </si>
  <si>
    <t>Bank:</t>
  </si>
  <si>
    <t>Vorname1</t>
  </si>
  <si>
    <t>Vorname2</t>
  </si>
  <si>
    <t>Vorname3</t>
  </si>
  <si>
    <t>Vorname4</t>
  </si>
  <si>
    <t>Frau</t>
  </si>
  <si>
    <t>Eure Gruppenleiter und Mitglieder des Elternrats</t>
  </si>
  <si>
    <t>Ermäßigt1</t>
  </si>
  <si>
    <t>Ermäßigt2</t>
  </si>
  <si>
    <t>Ermäßigt3</t>
  </si>
  <si>
    <t>Ermäßigt4</t>
  </si>
  <si>
    <t>Mitgliedsbeitrag weitere K.:</t>
  </si>
  <si>
    <t>Anschrift:</t>
  </si>
  <si>
    <t>Bankverbindung:</t>
  </si>
  <si>
    <t>Nein</t>
  </si>
  <si>
    <t>Der Mitgliedsbeitrag besteht aus einem Registrierbeitrag (Verbandsbeitrag), den wir an die Niederösterreichischen Pfadfinder und Pfadfinderinnen abführen und der auch eine Haftpflicht- und Unfallversicherung beinhaltet, sowie dem vom Elternrat festgesetzten Gruppenbeitrag. Mit diesen Beiträgen sowie unseren diversen Veranstaltungen finanzieren wir die Kinder- und Jugendbetreuung im Rahmen unseres laufenden Betriebes während des Jahres.
Die Beiträge für Familien mit mehreren Mitgliedern (Kinder/Mitarbeiter) sind ab dem zweiten Mitglied halbiert, für Mitarbeiter (Elternrat) wird nur der  Verbandsbeitrag eingehoben.
Es ergeben sich somit die folgenden jährlichen Mitgliedsbeiträge:</t>
  </si>
  <si>
    <t>E</t>
  </si>
  <si>
    <t>J</t>
  </si>
  <si>
    <t>Falls die Knöpfe nicht funktionieren, unter Datei/Informationen, Inhalt aktivieren:</t>
  </si>
  <si>
    <t>Adresse:</t>
  </si>
  <si>
    <t>ZVR Zahl:</t>
  </si>
  <si>
    <t>www:</t>
  </si>
  <si>
    <t>Kopfname:</t>
  </si>
  <si>
    <t>Vorname5</t>
  </si>
  <si>
    <t>Einschreib5</t>
  </si>
  <si>
    <t>Ermäßigt5</t>
  </si>
  <si>
    <t>Vorname6</t>
  </si>
  <si>
    <t>Einschreib6</t>
  </si>
  <si>
    <t>Ermäßigt6</t>
  </si>
  <si>
    <t>C:\dev\PfadfinderSchreiben</t>
  </si>
  <si>
    <t>Muster</t>
  </si>
  <si>
    <t>Mustermann</t>
  </si>
  <si>
    <t>Musterfrau</t>
  </si>
  <si>
    <t>Gruppe Musterhausen</t>
  </si>
  <si>
    <t>AT12345600000987654</t>
  </si>
  <si>
    <t>PPÖ Pfadfindergruppe Musterhausen</t>
  </si>
  <si>
    <t>Musterhausenbank</t>
  </si>
  <si>
    <t>9999 Musterhausen, Beispielplatz 1</t>
  </si>
  <si>
    <t>pfadfinder-musterhausen.at</t>
  </si>
  <si>
    <t>MIT</t>
  </si>
  <si>
    <t>ER</t>
  </si>
  <si>
    <t>ERO</t>
  </si>
  <si>
    <t>KASS</t>
  </si>
  <si>
    <t>SCHR</t>
  </si>
  <si>
    <t>MIT, REG</t>
  </si>
  <si>
    <t>Funktionen Erwachsene Mitglieder:</t>
  </si>
  <si>
    <t>Leiter aus iGRINS übernehmen (zahlen selbst)?</t>
  </si>
  <si>
    <t>Neuregistrierungen ab:</t>
  </si>
  <si>
    <t>Nicht importieren wenn "Ermäßigt" auf:</t>
  </si>
  <si>
    <t>P</t>
  </si>
  <si>
    <t>PWA</t>
  </si>
  <si>
    <t>Datenträger für QR-Code:</t>
  </si>
  <si>
    <t>GAB-Person-Export_2019-03-26.xls</t>
  </si>
  <si>
    <t>Adresse</t>
  </si>
  <si>
    <t>Gruppierung beim Export nach:</t>
  </si>
  <si>
    <t>Musterstrasse 8/15, 4711 Musterhausen</t>
  </si>
  <si>
    <t>Mustergasse 1/2, 4711 Musterhausen</t>
  </si>
  <si>
    <t>Musterplatz 1, 4711 Musterhausen</t>
  </si>
  <si>
    <t>Musterallee 7, 4711 Musterhausen</t>
  </si>
  <si>
    <t>Musterhof 9, 4711 Musterhausen</t>
  </si>
  <si>
    <t>Max</t>
  </si>
  <si>
    <t>Erika</t>
  </si>
  <si>
    <t>Krethi</t>
  </si>
  <si>
    <t>Plethi</t>
  </si>
  <si>
    <t>Hinz</t>
  </si>
  <si>
    <t>Kunz</t>
  </si>
  <si>
    <t>Normalverbraucher</t>
  </si>
  <si>
    <t>Otto</t>
  </si>
  <si>
    <t>Möglich</t>
  </si>
  <si>
    <t>Pfadijahr beginnt:</t>
  </si>
  <si>
    <t>Nachname/Plz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</si>
</sst>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i/>
      <sz val="8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i/>
      <sz val="16"/>
      <color theme="1"/>
      <name val="Arial"/>
      <family val="2"/>
    </font>
    <font>
      <u/>
      <sz val="10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indexed="81"/>
      <name val="Segoe UI"/>
      <family val="2"/>
    </font>
    <font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0" fontId="0" fillId="0" borderId="0" xfId="0" quotePrefix="1"/>
    <xf numFmtId="0" fontId="0" fillId="0" borderId="0" xfId="0" applyAlignment="1">
      <alignment horizontal="left" vertical="center" indent="1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5" fillId="0" borderId="0" xfId="0" applyFont="1" applyAlignment="1">
      <alignment vertical="center"/>
    </xf>
    <xf numFmtId="0" fontId="2" fillId="0" borderId="0" xfId="0" applyFont="1"/>
    <xf numFmtId="0" fontId="6" fillId="0" borderId="0" xfId="1" applyFont="1" applyAlignment="1">
      <alignment horizontal="left" vertical="center"/>
    </xf>
    <xf numFmtId="0" fontId="0" fillId="2" borderId="0" xfId="0" applyFill="1"/>
    <xf numFmtId="0" fontId="7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3" borderId="6" xfId="0" applyFill="1" applyBorder="1"/>
    <xf numFmtId="0" fontId="0" fillId="3" borderId="7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8" xfId="0" applyFill="1" applyBorder="1"/>
    <xf numFmtId="0" fontId="0" fillId="3" borderId="9" xfId="0" applyFill="1" applyBorder="1"/>
    <xf numFmtId="0" fontId="0" fillId="0" borderId="6" xfId="0" applyBorder="1"/>
    <xf numFmtId="0" fontId="0" fillId="0" borderId="7" xfId="0" applyBorder="1"/>
    <xf numFmtId="0" fontId="0" fillId="0" borderId="10" xfId="0" applyBorder="1"/>
    <xf numFmtId="0" fontId="0" fillId="0" borderId="11" xfId="0" applyBorder="1"/>
    <xf numFmtId="0" fontId="0" fillId="0" borderId="9" xfId="0" applyBorder="1"/>
    <xf numFmtId="0" fontId="8" fillId="0" borderId="0" xfId="0" applyFont="1"/>
    <xf numFmtId="14" fontId="0" fillId="4" borderId="0" xfId="0" applyNumberFormat="1" applyFill="1"/>
    <xf numFmtId="0" fontId="0" fillId="4" borderId="0" xfId="0" applyFill="1"/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0" fontId="10" fillId="0" borderId="12" xfId="0" quotePrefix="1" applyFont="1" applyBorder="1" applyAlignment="1">
      <alignment horizontal="left" vertical="top" wrapText="1"/>
    </xf>
    <xf numFmtId="0" fontId="10" fillId="0" borderId="13" xfId="0" quotePrefix="1" applyFont="1" applyBorder="1" applyAlignment="1">
      <alignment horizontal="left" vertical="top" wrapText="1"/>
    </xf>
    <xf numFmtId="0" fontId="10" fillId="0" borderId="14" xfId="0" quotePrefix="1" applyFont="1" applyBorder="1" applyAlignment="1">
      <alignment horizontal="left" vertical="top" wrapText="1"/>
    </xf>
  </cellXfs>
  <cellStyles count="2">
    <cellStyle name="Link" xfId="1" builtinId="8"/>
    <cellStyle name="Standard" xfId="0" builtinId="0"/>
  </cellStyles>
  <dxfs count="12"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F39CBE8D-270F-463C-852D-F92365D19007}">
      <tableStyleElement type="wholeTable" dxfId="11"/>
      <tableStyleElement type="headerRow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C:\dev\PfadfinderSchreiben\excel_temp.png" TargetMode="External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0</xdr:row>
          <xdr:rowOff>66675</xdr:rowOff>
        </xdr:from>
        <xdr:to>
          <xdr:col>5</xdr:col>
          <xdr:colOff>495300</xdr:colOff>
          <xdr:row>0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200025</xdr:colOff>
          <xdr:row>0</xdr:row>
          <xdr:rowOff>66675</xdr:rowOff>
        </xdr:from>
        <xdr:to>
          <xdr:col>4</xdr:col>
          <xdr:colOff>704850</xdr:colOff>
          <xdr:row>0</xdr:row>
          <xdr:rowOff>352425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200025</xdr:colOff>
          <xdr:row>0</xdr:row>
          <xdr:rowOff>438150</xdr:rowOff>
        </xdr:from>
        <xdr:to>
          <xdr:col>5</xdr:col>
          <xdr:colOff>504825</xdr:colOff>
          <xdr:row>0</xdr:row>
          <xdr:rowOff>762000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drucken &amp; vor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1609725</xdr:colOff>
          <xdr:row>0</xdr:row>
          <xdr:rowOff>38100</xdr:rowOff>
        </xdr:from>
        <xdr:to>
          <xdr:col>3</xdr:col>
          <xdr:colOff>371475</xdr:colOff>
          <xdr:row>0</xdr:row>
          <xdr:rowOff>523875</xdr:rowOff>
        </xdr:to>
        <xdr:sp macro="" textlink="">
          <xdr:nvSpPr>
            <xdr:cNvPr id="1030" name="Object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>
                <a:alpha val="0"/>
              </a:srgbClr>
            </a:solidFill>
          </xdr:spPr>
        </xdr:sp>
        <xdr:clientData/>
      </xdr:twoCellAnchor>
    </mc:Choice>
    <mc:Fallback/>
  </mc:AlternateContent>
  <xdr:twoCellAnchor editAs="oneCell">
    <xdr:from>
      <xdr:col>4</xdr:col>
      <xdr:colOff>280147</xdr:colOff>
      <xdr:row>14</xdr:row>
      <xdr:rowOff>56029</xdr:rowOff>
    </xdr:from>
    <xdr:to>
      <xdr:col>13</xdr:col>
      <xdr:colOff>582227</xdr:colOff>
      <xdr:row>26</xdr:row>
      <xdr:rowOff>135652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31323" y="4639235"/>
          <a:ext cx="8314286" cy="3990476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25</xdr:row>
      <xdr:rowOff>0</xdr:rowOff>
    </xdr:from>
    <xdr:to>
      <xdr:col>0</xdr:col>
      <xdr:colOff>1819275</xdr:colOff>
      <xdr:row>26</xdr:row>
      <xdr:rowOff>0</xdr:rowOff>
    </xdr:to>
    <xdr:pic>
      <xdr:nvPicPr>
        <xdr:cNvPr id="4" name="QRCODE_ZAHLUNG">
          <a:extLst>
            <a:ext uri="{FF2B5EF4-FFF2-40B4-BE49-F238E27FC236}">
              <a16:creationId xmlns:a16="http://schemas.microsoft.com/office/drawing/2014/main" id="{4919FCB5-BD4A-4584-B0AF-D72E1BB30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7124700"/>
          <a:ext cx="1819275" cy="18192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104775</xdr:colOff>
          <xdr:row>0</xdr:row>
          <xdr:rowOff>0</xdr:rowOff>
        </xdr:from>
        <xdr:to>
          <xdr:col>23</xdr:col>
          <xdr:colOff>647700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iGrins Exportdatei übernehmen: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</xdr:colOff>
          <xdr:row>20</xdr:row>
          <xdr:rowOff>0</xdr:rowOff>
        </xdr:from>
        <xdr:to>
          <xdr:col>24</xdr:col>
          <xdr:colOff>161925</xdr:colOff>
          <xdr:row>21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Schreiben in github Ordner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F3C5811-8ADD-4C8F-ABD0-88AA9D57F8C8}" name="Liste" displayName="Liste" ref="A1:U1048561" totalsRowShown="0">
  <tableColumns count="21">
    <tableColumn id="1" xr3:uid="{F116C924-55EF-442D-B496-4E0D625C806D}" name="Anrede"/>
    <tableColumn id="2" xr3:uid="{2D4BF347-F93D-4DA6-A4C4-4AB01B8AC0D1}" name="Name"/>
    <tableColumn id="21" xr3:uid="{22E73EA6-FB89-4B42-BEB7-48F5FB287C30}" name="Adresse"/>
    <tableColumn id="3" xr3:uid="{864AB519-AA09-467F-976C-0ACBD711836D}" name="Vorname1" dataDxfId="9"/>
    <tableColumn id="4" xr3:uid="{4232D329-7338-4911-B995-A571BB343DCA}" name="Einschreib1"/>
    <tableColumn id="12" xr3:uid="{C7DBBC3E-BEDA-4129-8E46-9C7229D4F4DC}" name="Ermäßigt1" dataDxfId="8"/>
    <tableColumn id="5" xr3:uid="{04AC46FE-A1D7-4AC0-8A3A-E0CA9DDD1EA8}" name="Vorname2" dataDxfId="7"/>
    <tableColumn id="6" xr3:uid="{3986CB50-67F0-4B02-8529-6FBC4B3D924F}" name="Einschreib2"/>
    <tableColumn id="13" xr3:uid="{08F81845-8E4B-41DA-B60D-6B4F4DE99558}" name="Ermäßigt2" dataDxfId="6"/>
    <tableColumn id="7" xr3:uid="{5C0D0E5E-3234-45AC-9F67-6B786DF5750B}" name="Vorname3" dataDxfId="5"/>
    <tableColumn id="8" xr3:uid="{0E922B8C-E0E9-46D8-8E8B-A92EAAC4FD0D}" name="Einschreib3"/>
    <tableColumn id="14" xr3:uid="{0591BA5F-AAC8-49B8-A991-A9D40B95F339}" name="Ermäßigt3" dataDxfId="4"/>
    <tableColumn id="9" xr3:uid="{6709BE4A-9D8F-4C79-9AE4-0AA000E5BF18}" name="Vorname4" dataDxfId="3"/>
    <tableColumn id="10" xr3:uid="{71D72D7F-18A8-4044-B053-275FC087C28F}" name="Einschreib4"/>
    <tableColumn id="15" xr3:uid="{0C4A3B11-5C0D-4275-A11D-199E9A9FCA0C}" name="Ermäßigt4" dataDxfId="2"/>
    <tableColumn id="11" xr3:uid="{CC67AC76-DAB1-4AA7-ABCE-294B4B2B0DA3}" name="Vorname5" dataDxfId="1"/>
    <tableColumn id="16" xr3:uid="{FAF7FE46-1D71-4A59-B39F-DB478C3AC3DF}" name="Einschreib5"/>
    <tableColumn id="17" xr3:uid="{9AE0EE07-AE07-4BA0-B893-C8401D1062FE}" name="Ermäßigt5" dataDxfId="0"/>
    <tableColumn id="18" xr3:uid="{CD6EA8F8-57EE-4D20-BC6E-1390D9D88EC5}" name="Vorname6"/>
    <tableColumn id="19" xr3:uid="{16CEF518-A4BC-4434-B289-6E924B89EAFE}" name="Einschreib6"/>
    <tableColumn id="20" xr3:uid="{BA809B56-5F8D-476F-A20B-B46C22E744B2}" name="Ermäßigt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wmf"/><Relationship Id="rId4" Type="http://schemas.openxmlformats.org/officeDocument/2006/relationships/oleObject" Target="../embeddings/oleObject1.bin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A260B-A099-4E8D-B2F2-3F95C911F5AD}">
  <sheetPr codeName="Tabelle1"/>
  <dimension ref="A1:J31"/>
  <sheetViews>
    <sheetView view="pageBreakPreview" zoomScale="85" zoomScaleNormal="100" zoomScaleSheetLayoutView="85" workbookViewId="0">
      <selection activeCell="E10" sqref="E10:G10"/>
    </sheetView>
  </sheetViews>
  <sheetFormatPr baseColWidth="10" defaultRowHeight="15" x14ac:dyDescent="0.25"/>
  <cols>
    <col min="1" max="1" width="33" customWidth="1"/>
    <col min="2" max="2" width="24.5703125" customWidth="1"/>
    <col min="3" max="3" width="22.5703125" customWidth="1"/>
    <col min="4" max="4" width="10.85546875" customWidth="1"/>
    <col min="8" max="8" width="28.7109375" customWidth="1"/>
  </cols>
  <sheetData>
    <row r="1" spans="1:10" ht="49.5" customHeight="1" x14ac:dyDescent="0.25">
      <c r="A1" s="7" t="str">
        <f>kopfname</f>
        <v>Gruppe Musterhausen</v>
      </c>
      <c r="B1" s="2"/>
      <c r="F1">
        <v>1</v>
      </c>
      <c r="I1" s="1"/>
      <c r="J1" s="3" t="str">
        <f>"Verband: "&amp;regsumme&amp;";Gruppe:"&amp;mglbeitragsumme&amp;IF(einschreibsumme&gt;0,";Einschreib:"&amp;einschreibsumme,"")</f>
        <v>Verband: 40,5;Gruppe:105;Einschreib:50</v>
      </c>
    </row>
    <row r="2" spans="1:10" ht="45" customHeight="1" x14ac:dyDescent="0.25">
      <c r="A2" s="31" t="str">
        <f>anrede</f>
        <v>Familie Muster</v>
      </c>
      <c r="B2" s="2"/>
    </row>
    <row r="3" spans="1:10" x14ac:dyDescent="0.25">
      <c r="A3" t="str">
        <f>INDEX(Liste[Adresse],zeilenindex)</f>
        <v>Musterstrasse 8/15, 4711 Musterhausen</v>
      </c>
      <c r="B3" s="2"/>
      <c r="H3" t="str">
        <f>INDEX(Liste[Anrede],zeilenindex)&amp;" "&amp;INDEX(Liste[Name],zeilenindex)</f>
        <v>Familie Muster</v>
      </c>
    </row>
    <row r="4" spans="1:10" x14ac:dyDescent="0.25">
      <c r="B4" s="2"/>
      <c r="H4" t="str">
        <f>INDEX(Liste[Name],zeilenindex)&amp;INDEX(Liste[Vorname1],zeilenindex)&amp;INDEX(Liste[Vorname2],zeilenindex)&amp;INDEX(Liste[Vorname3],zeilenindex)&amp;INDEX(Liste[Vorname4],zeilenindex)&amp;INDEX(Liste[Vorname5],zeilenindex)&amp;INDEX(Liste[Vorname6],zeilenindex)</f>
        <v>MusterHinzKunz</v>
      </c>
    </row>
    <row r="5" spans="1:10" x14ac:dyDescent="0.25">
      <c r="B5" s="2"/>
      <c r="E5" s="1"/>
      <c r="H5">
        <f>IF(INDEX(Liste[Vorname1],zeilenindex)&lt;&gt;"",1,0)+IF(INDEX(Liste[Vorname2],zeilenindex)&lt;&gt;"",1,0)+IF(INDEX(Liste[Vorname3],zeilenindex)&lt;&gt;"",1,0)+IF(INDEX(Liste[Vorname4],zeilenindex)&lt;&gt;"",1,0)+IF(INDEX(Liste[Vorname5],zeilenindex)&lt;&gt;"",1,0)+IF(INDEX(Liste[Vorname6],zeilenindex)&lt;&gt;"",1,0)</f>
        <v>2</v>
      </c>
      <c r="I5">
        <f>IF(AND(INDEX(Liste[Vorname1],zeilenindex)&lt;&gt;"",INDEX(Liste[Ermäßigt1],zeilenindex)=""),1,0)+IF(AND(INDEX(Liste[Vorname2],zeilenindex)&lt;&gt;"",INDEX(Liste[Ermäßigt2],zeilenindex)=""),1,0)+IF(AND(INDEX(Liste[Vorname3],zeilenindex)&lt;&gt;"",INDEX(Liste[Ermäßigt3],zeilenindex)=""),1,0)+IF(AND(INDEX(Liste[Vorname4],zeilenindex)&lt;&gt;"",INDEX(Liste[Ermäßigt4],zeilenindex)=""),1,0)+IF(AND(INDEX(Liste[Vorname5],zeilenindex)&lt;&gt;"",INDEX(Liste[Ermäßigt5],zeilenindex)=""),1,0)+IF(AND(INDEX(Liste[Vorname6],zeilenindex)&lt;&gt;"",INDEX(Liste[Ermäßigt6],zeilenindex)=""),1,0)</f>
        <v>2</v>
      </c>
    </row>
    <row r="6" spans="1:10" x14ac:dyDescent="0.25">
      <c r="A6" s="8" t="str">
        <f ca="1">"Mitgliedsbeitrag "&amp;AufnahmeJahr&amp;"/"&amp;RIGHT(AufnahmeJahr+1,2)</f>
        <v>Mitgliedsbeitrag 2018/19</v>
      </c>
      <c r="B6" s="2"/>
      <c r="H6">
        <f>IF(INDEX(Liste[Einschreib1],zeilenindex)&lt;&gt;"",1,0)+IF(INDEX(Liste[Einschreib2],zeilenindex)&lt;&gt;"",1,0)+IF(INDEX(Liste[Einschreib3],zeilenindex)&lt;&gt;"",1,0)+IF(INDEX(Liste[Einschreib4],zeilenindex)&lt;&gt;"",1,0)+IF(INDEX(Liste[Einschreib5],zeilenindex)&lt;&gt;"",1,0)+IF(INDEX(Liste[Einschreib6],zeilenindex)&lt;&gt;"",1,0)</f>
        <v>2</v>
      </c>
    </row>
    <row r="7" spans="1:10" x14ac:dyDescent="0.25">
      <c r="B7" s="2"/>
      <c r="H7">
        <f>IF(anzKinder&gt;0,mitglbeitrag+mitglbeitragweitere*(anzKinder-1),0)</f>
        <v>105</v>
      </c>
    </row>
    <row r="8" spans="1:10" x14ac:dyDescent="0.25">
      <c r="A8" t="str">
        <f>"Liebe"&amp;IF(INDEX(Liste[Anrede],zeilenindex)="Herr","r "," ")&amp;anrede&amp;" !"</f>
        <v>Liebe Familie Muster !</v>
      </c>
      <c r="B8" s="2"/>
      <c r="H8">
        <f>IF(anzMitgl&gt;0,reg+regweitere*(anzMitgl-1),0)</f>
        <v>40.5</v>
      </c>
    </row>
    <row r="9" spans="1:10" x14ac:dyDescent="0.25">
      <c r="E9" t="s">
        <v>67</v>
      </c>
      <c r="H9">
        <f>einschreibgeb*anzEinschreib</f>
        <v>50</v>
      </c>
    </row>
    <row r="10" spans="1:10" ht="136.5" customHeight="1" x14ac:dyDescent="0.25">
      <c r="A10" s="32" t="s">
        <v>31</v>
      </c>
      <c r="B10" s="32"/>
      <c r="C10" s="32"/>
      <c r="D10" s="32"/>
      <c r="E10" s="33" t="str">
        <f ca="1">SUBSTITUTE(SUBSTITUTE(SUBSTITUTE(SUBSTITUTE(SUBSTITUTE(SUBSTITUTE(SUBSTITUTE("BCD"&amp;CHAR(10)&amp;"002"&amp;CHAR(10)&amp;"1"&amp;CHAR(10)&amp;"SCT"&amp;CHAR(10)&amp;CHAR(10)&amp;lautend_auf&amp;CHAR(10)&amp;konto&amp;CHAR(10)&amp;"EUR"&amp;SUBSTITUTE(gebührgesamt,",",".")&amp;CHAR(10)&amp;CHAR(10)&amp;referenz&amp;RIGHT(AufnahmeJahr,2)&amp;"/"&amp;RIGHT(AufnahmeJahr,2)+1&amp;CHAR(10)&amp;CHAR(10)&amp;zustext,"ü","ue"),"ö","oe"),"ä","ae"),"Ü","Ue"),"Ö","Oe"),"Ä","Ae"),"ß","ss")</f>
        <v>BCD
002
1
SCT
PPOe Pfadfindergruppe Musterhausen
AT12345600000987654
EUR195.5
MusterHinzKunz18/19
Verband: 40,5;Gruppe:105;Einschreib:50</v>
      </c>
      <c r="F10" s="34"/>
      <c r="G10" s="35"/>
      <c r="H10">
        <f>SUM(H7:H9)</f>
        <v>195.5</v>
      </c>
    </row>
    <row r="11" spans="1:10" x14ac:dyDescent="0.25">
      <c r="A11" t="str">
        <f>"für das 1. Mitglied: € "&amp;TEXT(mitglbeitrag+reg,"0,00")&amp;" (Verbandsbeitrag: "&amp;TEXT(reg,"0,00")&amp;"; Gruppenbeitrag: "&amp;TEXT(mitglbeitrag,"0,00")&amp;")"</f>
        <v>für das 1. Mitglied: € 97,00 (Verbandsbeitrag: 27,00; Gruppenbeitrag: 70,00)</v>
      </c>
      <c r="H11" t="str">
        <f>INDEX(Liste[Vorname1],zeilenindex)&amp;IF(INDEX(Liste[Vorname2],zeilenindex)&lt;&gt;""," und "&amp;INDEX(Liste[Vorname2],zeilenindex),"")&amp;IF(INDEX(Liste[Vorname3],zeilenindex)&lt;&gt;""," und "&amp;INDEX(Liste[Vorname3],zeilenindex),"")&amp;IF(INDEX(Liste[Vorname4],zeilenindex)&lt;&gt;""," und "&amp;INDEX(Liste[Vorname4],zeilenindex),"")&amp;IF(INDEX(Liste[Vorname5],zeilenindex)&lt;&gt;""," und "&amp;INDEX(Liste[Vorname5],zeilenindex),"")&amp;IF(INDEX(Liste[Vorname6],zeilenindex)&lt;&gt;""," und "&amp;INDEX(Liste[Vorname6],zeilenindex),"")</f>
        <v>Hinz und Kunz</v>
      </c>
    </row>
    <row r="12" spans="1:10" x14ac:dyDescent="0.25">
      <c r="A12" t="str">
        <f>"für das 2. Mitglied und alle weiteren: € "&amp;TEXT(mitglbeitragweitere+regweitere,"0,00")&amp;" (Verbandsbeitrag: "&amp;TEXT(regweitere,"0,00")&amp;"; Gruppenbeitrag: "&amp;TEXT(mitglbeitragweitere,"0,00")&amp;")"</f>
        <v>für das 2. Mitglied und alle weiteren: € 48,50 (Verbandsbeitrag: 13,50; Gruppenbeitrag: 35,00)</v>
      </c>
    </row>
    <row r="13" spans="1:10" x14ac:dyDescent="0.25">
      <c r="E13" s="11" t="s">
        <v>34</v>
      </c>
    </row>
    <row r="14" spans="1:10" x14ac:dyDescent="0.25">
      <c r="A14" t="str">
        <f>"Der gesamte zu zahlende Betrag für "&amp;IF(INDEX(Liste[Anrede],zeilenindex)="Familie",pfadis,"Sie")&amp;" ist somit: € "&amp;TEXT(gebührgesamt,"0,00")</f>
        <v>Der gesamte zu zahlende Betrag für Hinz und Kunz ist somit: € 195,50</v>
      </c>
    </row>
    <row r="15" spans="1:10" x14ac:dyDescent="0.25">
      <c r="A15" t="str">
        <f>"(Verbandsbeiträge "&amp;TEXT(regsumme,"0,00")&amp;"; Gruppenbeiträge "&amp;TEXT(mglbeitragsumme,"0,00")&amp;IF(anzEinschreib&gt;0,"; Einschreibgebühren "&amp;TEXT(einschreibsumme,"0,00"),"")&amp;")"</f>
        <v>(Verbandsbeiträge 40,50; Gruppenbeiträge 105,00; Einschreibgebühren 50,00)</v>
      </c>
    </row>
    <row r="17" spans="1:4" x14ac:dyDescent="0.25">
      <c r="A17" t="str">
        <f>"Bitte obigen Betrag auf das Konto "&amp;konto&amp;" bei der "&amp;bank&amp;","</f>
        <v>Bitte obigen Betrag auf das Konto AT12345600000987654 bei der Musterhausenbank,</v>
      </c>
    </row>
    <row r="18" spans="1:4" x14ac:dyDescent="0.25">
      <c r="A18" t="str">
        <f>"lautend auf """&amp;lautend_auf&amp;""" überweisen."</f>
        <v>lautend auf "PPÖ Pfadfindergruppe Musterhausen" überweisen.</v>
      </c>
    </row>
    <row r="19" spans="1:4" x14ac:dyDescent="0.25">
      <c r="A19" t="str">
        <f ca="1">"Als Verwendungszweck bitte "&amp;referenz&amp;RIGHT(AufnahmeJahr,2)&amp;"/"&amp;RIGHT(AufnahmeJahr,2)+1&amp;" angeben."</f>
        <v>Als Verwendungszweck bitte MusterHinzKunz18/19 angeben.</v>
      </c>
    </row>
    <row r="22" spans="1:4" x14ac:dyDescent="0.25">
      <c r="A22" t="s">
        <v>15</v>
      </c>
    </row>
    <row r="23" spans="1:4" x14ac:dyDescent="0.25">
      <c r="A23" t="s">
        <v>22</v>
      </c>
    </row>
    <row r="25" spans="1:4" x14ac:dyDescent="0.25">
      <c r="A25" t="s">
        <v>11</v>
      </c>
    </row>
    <row r="26" spans="1:4" ht="143.25" customHeight="1" x14ac:dyDescent="0.25"/>
    <row r="28" spans="1:4" x14ac:dyDescent="0.25">
      <c r="A28" s="5" t="s">
        <v>28</v>
      </c>
      <c r="D28" s="6" t="s">
        <v>29</v>
      </c>
    </row>
    <row r="29" spans="1:4" x14ac:dyDescent="0.25">
      <c r="A29" s="5" t="str">
        <f>adresse</f>
        <v>9999 Musterhausen, Beispielplatz 1</v>
      </c>
      <c r="D29" s="6" t="str">
        <f>bank</f>
        <v>Musterhausenbank</v>
      </c>
    </row>
    <row r="30" spans="1:4" x14ac:dyDescent="0.25">
      <c r="A30" s="5" t="str">
        <f>"ZVR-Zahl: "&amp;zvrzahl</f>
        <v>ZVR-Zahl: 123456789</v>
      </c>
      <c r="D30" s="6" t="str">
        <f>konto</f>
        <v>AT12345600000987654</v>
      </c>
    </row>
    <row r="31" spans="1:4" x14ac:dyDescent="0.25">
      <c r="A31" s="9" t="str">
        <f>www</f>
        <v>pfadfinder-musterhausen.at</v>
      </c>
      <c r="C31" s="4"/>
      <c r="D31" s="6" t="str">
        <f>"ltd. auf "&amp;lautend_auf</f>
        <v>ltd. auf PPÖ Pfadfindergruppe Musterhausen</v>
      </c>
    </row>
  </sheetData>
  <dataConsolidate/>
  <mergeCells count="2">
    <mergeCell ref="A10:D10"/>
    <mergeCell ref="E10:G10"/>
  </mergeCells>
  <pageMargins left="0.7" right="0.7" top="0.78740157499999996" bottom="0.78740157499999996" header="0.3" footer="0.3"/>
  <pageSetup paperSize="9" scale="96" orientation="portrait" r:id="rId1"/>
  <drawing r:id="rId2"/>
  <legacyDrawing r:id="rId3"/>
  <oleObjects>
    <mc:AlternateContent xmlns:mc="http://schemas.openxmlformats.org/markup-compatibility/2006">
      <mc:Choice Requires="x14">
        <oleObject progId="Word.Picture.8" shapeId="1030" r:id="rId4">
          <objectPr defaultSize="0" autoPict="0" r:id="rId5">
            <anchor moveWithCells="1" sizeWithCells="1">
              <from>
                <xdr:col>1</xdr:col>
                <xdr:colOff>1609725</xdr:colOff>
                <xdr:row>0</xdr:row>
                <xdr:rowOff>38100</xdr:rowOff>
              </from>
              <to>
                <xdr:col>3</xdr:col>
                <xdr:colOff>371475</xdr:colOff>
                <xdr:row>0</xdr:row>
                <xdr:rowOff>523875</xdr:rowOff>
              </to>
            </anchor>
          </objectPr>
        </oleObject>
      </mc:Choice>
      <mc:Fallback>
        <oleObject progId="Word.Picture.8" shapeId="1030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vor">
                <anchor moveWithCells="1" sizeWithCells="1">
                  <from>
                    <xdr:col>5</xdr:col>
                    <xdr:colOff>95250</xdr:colOff>
                    <xdr:row>0</xdr:row>
                    <xdr:rowOff>66675</xdr:rowOff>
                  </from>
                  <to>
                    <xdr:col>5</xdr:col>
                    <xdr:colOff>495300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zurück">
                <anchor moveWithCells="1" sizeWithCells="1">
                  <from>
                    <xdr:col>4</xdr:col>
                    <xdr:colOff>200025</xdr:colOff>
                    <xdr:row>0</xdr:row>
                    <xdr:rowOff>66675</xdr:rowOff>
                  </from>
                  <to>
                    <xdr:col>4</xdr:col>
                    <xdr:colOff>704850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druckUndVor">
                <anchor moveWithCells="1" sizeWithCells="1">
                  <from>
                    <xdr:col>4</xdr:col>
                    <xdr:colOff>200025</xdr:colOff>
                    <xdr:row>0</xdr:row>
                    <xdr:rowOff>438150</xdr:rowOff>
                  </from>
                  <to>
                    <xdr:col>5</xdr:col>
                    <xdr:colOff>504825</xdr:colOff>
                    <xdr:row>0</xdr:row>
                    <xdr:rowOff>762000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0A2E2-B69D-4547-80D1-7527CA338335}">
  <sheetPr codeName="Tabelle2"/>
  <dimension ref="A1:D13"/>
  <sheetViews>
    <sheetView workbookViewId="0">
      <selection activeCell="B1" sqref="B1:B1048576"/>
    </sheetView>
  </sheetViews>
  <sheetFormatPr baseColWidth="10" defaultRowHeight="15" x14ac:dyDescent="0.25"/>
  <cols>
    <col min="1" max="1" width="26" bestFit="1" customWidth="1"/>
    <col min="3" max="3" width="13.7109375" customWidth="1"/>
  </cols>
  <sheetData>
    <row r="1" spans="1:4" x14ac:dyDescent="0.25">
      <c r="A1" t="s">
        <v>0</v>
      </c>
      <c r="B1" s="2">
        <v>70</v>
      </c>
    </row>
    <row r="2" spans="1:4" x14ac:dyDescent="0.25">
      <c r="A2" t="s">
        <v>27</v>
      </c>
      <c r="B2" s="2">
        <v>35</v>
      </c>
    </row>
    <row r="3" spans="1:4" x14ac:dyDescent="0.25">
      <c r="A3" t="s">
        <v>1</v>
      </c>
      <c r="B3" s="2">
        <v>27</v>
      </c>
    </row>
    <row r="4" spans="1:4" x14ac:dyDescent="0.25">
      <c r="A4" t="s">
        <v>2</v>
      </c>
      <c r="B4" s="2">
        <v>13.5</v>
      </c>
    </row>
    <row r="5" spans="1:4" x14ac:dyDescent="0.25">
      <c r="A5" t="s">
        <v>3</v>
      </c>
      <c r="B5" s="2">
        <v>25</v>
      </c>
    </row>
    <row r="7" spans="1:4" x14ac:dyDescent="0.25">
      <c r="A7" t="s">
        <v>38</v>
      </c>
      <c r="B7" t="s">
        <v>49</v>
      </c>
    </row>
    <row r="8" spans="1:4" x14ac:dyDescent="0.25">
      <c r="A8" t="s">
        <v>4</v>
      </c>
      <c r="B8" t="s">
        <v>50</v>
      </c>
    </row>
    <row r="9" spans="1:4" x14ac:dyDescent="0.25">
      <c r="A9" t="s">
        <v>5</v>
      </c>
      <c r="B9" t="s">
        <v>51</v>
      </c>
      <c r="D9" s="28"/>
    </row>
    <row r="10" spans="1:4" x14ac:dyDescent="0.25">
      <c r="A10" t="s">
        <v>16</v>
      </c>
      <c r="B10" t="s">
        <v>52</v>
      </c>
    </row>
    <row r="11" spans="1:4" x14ac:dyDescent="0.25">
      <c r="A11" t="s">
        <v>35</v>
      </c>
      <c r="B11" t="s">
        <v>53</v>
      </c>
    </row>
    <row r="12" spans="1:4" x14ac:dyDescent="0.25">
      <c r="A12" t="s">
        <v>36</v>
      </c>
      <c r="B12">
        <v>123456789</v>
      </c>
    </row>
    <row r="13" spans="1:4" x14ac:dyDescent="0.25">
      <c r="A13" t="s">
        <v>37</v>
      </c>
      <c r="B13" t="s">
        <v>54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1863F-6D34-42EB-82FE-E5F11CB52934}">
  <sheetPr codeName="importListe">
    <outlinePr summaryRight="0"/>
  </sheetPr>
  <dimension ref="A1:Y22"/>
  <sheetViews>
    <sheetView tabSelected="1" workbookViewId="0">
      <pane ySplit="1" topLeftCell="A2" activePane="bottomLeft" state="frozen"/>
      <selection pane="bottomLeft" activeCell="AA6" sqref="AA6"/>
    </sheetView>
  </sheetViews>
  <sheetFormatPr baseColWidth="10" defaultRowHeight="15" outlineLevelCol="1" x14ac:dyDescent="0.25"/>
  <cols>
    <col min="1" max="1" width="9" customWidth="1"/>
    <col min="2" max="2" width="17" customWidth="1"/>
    <col min="3" max="3" width="42.7109375" bestFit="1" customWidth="1" collapsed="1"/>
    <col min="4" max="4" width="11.85546875" style="15" hidden="1" customWidth="1" outlineLevel="1"/>
    <col min="5" max="5" width="4" hidden="1" customWidth="1" outlineLevel="1"/>
    <col min="6" max="6" width="4" style="16" hidden="1" customWidth="1" outlineLevel="1"/>
    <col min="7" max="7" width="10.140625" style="15" hidden="1" customWidth="1" outlineLevel="1"/>
    <col min="8" max="9" width="4" hidden="1" customWidth="1" outlineLevel="1"/>
    <col min="10" max="10" width="10.140625" style="15" hidden="1" customWidth="1" outlineLevel="1"/>
    <col min="11" max="11" width="4" hidden="1" customWidth="1" outlineLevel="1"/>
    <col min="12" max="12" width="4" style="16" hidden="1" customWidth="1" outlineLevel="1"/>
    <col min="13" max="13" width="10.140625" style="15" hidden="1" customWidth="1" outlineLevel="1"/>
    <col min="14" max="14" width="4" hidden="1" customWidth="1" outlineLevel="1"/>
    <col min="15" max="15" width="4" style="16" hidden="1" customWidth="1" outlineLevel="1"/>
    <col min="16" max="16" width="10.140625" style="15" hidden="1" customWidth="1" outlineLevel="1"/>
    <col min="17" max="17" width="4" hidden="1" customWidth="1" outlineLevel="1"/>
    <col min="18" max="18" width="4" style="16" hidden="1" customWidth="1" outlineLevel="1"/>
    <col min="19" max="19" width="11.140625" hidden="1" customWidth="1" outlineLevel="1"/>
    <col min="20" max="20" width="3.28515625" hidden="1" customWidth="1" outlineLevel="1"/>
    <col min="21" max="21" width="5.42578125" hidden="1" customWidth="1" outlineLevel="1"/>
    <col min="22" max="22" width="7.85546875" customWidth="1"/>
    <col min="23" max="23" width="13.7109375" customWidth="1"/>
    <col min="24" max="24" width="10" customWidth="1"/>
  </cols>
  <sheetData>
    <row r="1" spans="1:25" x14ac:dyDescent="0.25">
      <c r="A1" t="s">
        <v>12</v>
      </c>
      <c r="B1" t="s">
        <v>6</v>
      </c>
      <c r="C1" t="s">
        <v>69</v>
      </c>
      <c r="D1" s="12" t="s">
        <v>17</v>
      </c>
      <c r="E1" s="13" t="s">
        <v>7</v>
      </c>
      <c r="F1" s="14" t="s">
        <v>23</v>
      </c>
      <c r="G1" t="s">
        <v>18</v>
      </c>
      <c r="H1" t="s">
        <v>8</v>
      </c>
      <c r="I1" t="s">
        <v>24</v>
      </c>
      <c r="J1" s="12" t="s">
        <v>19</v>
      </c>
      <c r="K1" s="13" t="s">
        <v>9</v>
      </c>
      <c r="L1" s="14" t="s">
        <v>25</v>
      </c>
      <c r="M1" s="12" t="s">
        <v>20</v>
      </c>
      <c r="N1" s="13" t="s">
        <v>10</v>
      </c>
      <c r="O1" s="14" t="s">
        <v>26</v>
      </c>
      <c r="P1" s="12" t="s">
        <v>39</v>
      </c>
      <c r="Q1" s="13" t="s">
        <v>40</v>
      </c>
      <c r="R1" s="14" t="s">
        <v>41</v>
      </c>
      <c r="S1" s="12" t="s">
        <v>42</v>
      </c>
      <c r="T1" s="13" t="s">
        <v>43</v>
      </c>
      <c r="U1" s="14" t="s">
        <v>44</v>
      </c>
      <c r="Y1" s="10" t="s">
        <v>68</v>
      </c>
    </row>
    <row r="2" spans="1:25" x14ac:dyDescent="0.25">
      <c r="A2" s="17" t="s">
        <v>13</v>
      </c>
      <c r="B2" s="18" t="s">
        <v>46</v>
      </c>
      <c r="C2" s="18" t="s">
        <v>71</v>
      </c>
      <c r="D2" s="19" t="s">
        <v>80</v>
      </c>
      <c r="E2" s="18" t="s">
        <v>33</v>
      </c>
      <c r="F2" s="20"/>
      <c r="G2" s="19" t="s">
        <v>81</v>
      </c>
      <c r="H2" s="21" t="s">
        <v>33</v>
      </c>
      <c r="I2" s="21"/>
      <c r="J2" s="19"/>
      <c r="K2" s="18"/>
      <c r="L2" s="20"/>
      <c r="M2" s="19"/>
      <c r="N2" s="18"/>
      <c r="O2" s="20"/>
      <c r="P2" s="19"/>
      <c r="Q2" s="18"/>
      <c r="R2" s="20"/>
      <c r="S2" s="18"/>
      <c r="T2" s="18"/>
      <c r="U2" s="22"/>
    </row>
    <row r="3" spans="1:25" x14ac:dyDescent="0.25">
      <c r="A3" s="23" t="s">
        <v>14</v>
      </c>
      <c r="B3" s="24" t="s">
        <v>47</v>
      </c>
      <c r="C3" s="18" t="s">
        <v>72</v>
      </c>
      <c r="D3" s="25" t="s">
        <v>76</v>
      </c>
      <c r="E3" s="24"/>
      <c r="F3" s="26" t="s">
        <v>32</v>
      </c>
      <c r="G3" s="25"/>
      <c r="H3" s="24"/>
      <c r="I3" s="24"/>
      <c r="J3" s="25"/>
      <c r="K3" s="24"/>
      <c r="L3" s="26"/>
      <c r="M3" s="25"/>
      <c r="N3" s="24"/>
      <c r="O3" s="26"/>
      <c r="P3" s="25"/>
      <c r="Q3" s="24"/>
      <c r="R3" s="26"/>
      <c r="S3" s="24"/>
      <c r="T3" s="24"/>
      <c r="U3" s="27"/>
      <c r="W3" t="s">
        <v>62</v>
      </c>
    </row>
    <row r="4" spans="1:25" x14ac:dyDescent="0.25">
      <c r="A4" s="17" t="s">
        <v>21</v>
      </c>
      <c r="B4" s="18" t="s">
        <v>48</v>
      </c>
      <c r="C4" s="18" t="s">
        <v>73</v>
      </c>
      <c r="D4" s="19" t="s">
        <v>77</v>
      </c>
      <c r="E4" s="18"/>
      <c r="F4" s="20" t="s">
        <v>32</v>
      </c>
      <c r="G4" s="19"/>
      <c r="H4" s="18"/>
      <c r="I4" s="18"/>
      <c r="J4" s="19"/>
      <c r="K4" s="18"/>
      <c r="L4" s="20"/>
      <c r="M4" s="19"/>
      <c r="N4" s="18"/>
      <c r="O4" s="20"/>
      <c r="P4" s="19"/>
      <c r="Q4" s="18"/>
      <c r="R4" s="20"/>
      <c r="S4" s="18"/>
      <c r="T4" s="18"/>
      <c r="U4" s="22"/>
      <c r="W4" s="10" t="s">
        <v>30</v>
      </c>
    </row>
    <row r="5" spans="1:25" x14ac:dyDescent="0.25">
      <c r="A5" s="23" t="s">
        <v>13</v>
      </c>
      <c r="B5" s="24" t="s">
        <v>84</v>
      </c>
      <c r="C5" s="18" t="s">
        <v>74</v>
      </c>
      <c r="D5" s="25" t="s">
        <v>78</v>
      </c>
      <c r="E5" s="24"/>
      <c r="F5" s="26" t="s">
        <v>32</v>
      </c>
      <c r="G5" s="25" t="s">
        <v>79</v>
      </c>
      <c r="H5" s="24"/>
      <c r="I5" s="24"/>
      <c r="J5" s="25"/>
      <c r="K5" s="24"/>
      <c r="L5" s="26"/>
      <c r="M5" s="25"/>
      <c r="N5" s="24"/>
      <c r="O5" s="26"/>
      <c r="P5" s="25"/>
      <c r="Q5" s="24"/>
      <c r="R5" s="26"/>
      <c r="S5" s="24"/>
      <c r="T5" s="24"/>
      <c r="U5" s="27"/>
      <c r="W5" t="s">
        <v>85</v>
      </c>
    </row>
    <row r="6" spans="1:25" x14ac:dyDescent="0.25">
      <c r="A6" s="17" t="s">
        <v>13</v>
      </c>
      <c r="B6" s="18" t="s">
        <v>82</v>
      </c>
      <c r="C6" s="18" t="s">
        <v>75</v>
      </c>
      <c r="D6" s="19" t="s">
        <v>83</v>
      </c>
      <c r="E6" s="18"/>
      <c r="F6" s="20"/>
      <c r="G6" s="19"/>
      <c r="H6" s="18"/>
      <c r="I6" s="18"/>
      <c r="J6" s="19"/>
      <c r="K6" s="18"/>
      <c r="L6" s="20"/>
      <c r="M6" s="19"/>
      <c r="N6" s="18"/>
      <c r="O6" s="20"/>
      <c r="P6" s="19"/>
      <c r="Q6" s="18"/>
      <c r="R6" s="20"/>
      <c r="S6" s="18"/>
      <c r="T6" s="18"/>
      <c r="U6" s="22"/>
      <c r="W6" s="30">
        <f ca="1">YEAR(TODAY())-1</f>
        <v>2018</v>
      </c>
    </row>
    <row r="7" spans="1:25" x14ac:dyDescent="0.25">
      <c r="W7" t="s">
        <v>64</v>
      </c>
    </row>
    <row r="8" spans="1:25" x14ac:dyDescent="0.25">
      <c r="W8" s="10" t="s">
        <v>65</v>
      </c>
      <c r="X8" s="10" t="s">
        <v>66</v>
      </c>
      <c r="Y8" s="10"/>
    </row>
    <row r="9" spans="1:25" x14ac:dyDescent="0.25">
      <c r="W9" t="s">
        <v>63</v>
      </c>
    </row>
    <row r="10" spans="1:25" x14ac:dyDescent="0.25">
      <c r="W10" s="29">
        <f ca="1">DATE(AufnahmeJahr,1,31)</f>
        <v>43131</v>
      </c>
    </row>
    <row r="11" spans="1:25" x14ac:dyDescent="0.25">
      <c r="W11" t="s">
        <v>61</v>
      </c>
    </row>
    <row r="12" spans="1:25" x14ac:dyDescent="0.25">
      <c r="W12" s="10" t="s">
        <v>56</v>
      </c>
    </row>
    <row r="13" spans="1:25" x14ac:dyDescent="0.25">
      <c r="W13" s="10" t="s">
        <v>57</v>
      </c>
    </row>
    <row r="14" spans="1:25" x14ac:dyDescent="0.25">
      <c r="W14" s="10" t="s">
        <v>58</v>
      </c>
    </row>
    <row r="15" spans="1:25" x14ac:dyDescent="0.25">
      <c r="W15" s="10" t="s">
        <v>59</v>
      </c>
    </row>
    <row r="16" spans="1:25" x14ac:dyDescent="0.25">
      <c r="W16" s="10" t="s">
        <v>60</v>
      </c>
    </row>
    <row r="17" spans="23:23" x14ac:dyDescent="0.25">
      <c r="W17" s="10" t="s">
        <v>55</v>
      </c>
    </row>
    <row r="18" spans="23:23" x14ac:dyDescent="0.25">
      <c r="W18" t="s">
        <v>70</v>
      </c>
    </row>
    <row r="19" spans="23:23" x14ac:dyDescent="0.25">
      <c r="W19" s="10" t="s">
        <v>86</v>
      </c>
    </row>
    <row r="22" spans="23:23" x14ac:dyDescent="0.25">
      <c r="W22" t="s">
        <v>45</v>
      </c>
    </row>
  </sheetData>
  <dataValidations count="2">
    <dataValidation type="list" allowBlank="1" showInputMessage="1" showErrorMessage="1" sqref="W4" xr:uid="{DA7A57B9-E765-4E78-A2A2-BCE910547E8F}">
      <formula1>"Ja,Nein"</formula1>
    </dataValidation>
    <dataValidation type="list" allowBlank="1" showInputMessage="1" showErrorMessage="1" sqref="W19" xr:uid="{2EB11E4C-14D4-48CC-8990-D01F2F9B9AFB}">
      <formula1>"Nachname/Plz,Strasse/Plz"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odul1.DatenÜbernehmen">
                <anchor moveWithCells="1" sizeWithCells="1">
                  <from>
                    <xdr:col>21</xdr:col>
                    <xdr:colOff>104775</xdr:colOff>
                    <xdr:row>0</xdr:row>
                    <xdr:rowOff>0</xdr:rowOff>
                  </from>
                  <to>
                    <xdr:col>23</xdr:col>
                    <xdr:colOff>647700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inGitSpeichern">
                <anchor moveWithCells="1" sizeWithCells="1">
                  <from>
                    <xdr:col>22</xdr:col>
                    <xdr:colOff>19050</xdr:colOff>
                    <xdr:row>20</xdr:row>
                    <xdr:rowOff>0</xdr:rowOff>
                  </from>
                  <to>
                    <xdr:col>24</xdr:col>
                    <xdr:colOff>161925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803F8-9C4D-46B6-90F0-A4F45ED24B44}">
  <sheetPr codeName="Tabelle3"/>
  <dimension ref="B1:X13"/>
  <sheetViews>
    <sheetView workbookViewId="0">
      <selection activeCell="E4" sqref="E4"/>
    </sheetView>
  </sheetViews>
  <sheetFormatPr baseColWidth="10" defaultRowHeight="15" x14ac:dyDescent="0.25"/>
  <cols>
    <col min="5" max="5" width="18.42578125" bestFit="1" customWidth="1"/>
    <col min="6" max="6" width="36.42578125" bestFit="1" customWidth="1"/>
  </cols>
  <sheetData>
    <row r="1" spans="2:24" x14ac:dyDescent="0.25">
      <c r="B1" s="2">
        <v>70</v>
      </c>
      <c r="D1" s="17" t="s">
        <v>13</v>
      </c>
      <c r="E1" s="18" t="s">
        <v>46</v>
      </c>
      <c r="F1" s="18" t="s">
        <v>71</v>
      </c>
      <c r="G1" s="19" t="s">
        <v>80</v>
      </c>
      <c r="H1" s="18" t="s">
        <v>33</v>
      </c>
      <c r="I1" s="20"/>
      <c r="J1" s="19" t="s">
        <v>81</v>
      </c>
      <c r="K1" s="21" t="s">
        <v>33</v>
      </c>
      <c r="L1" s="21"/>
      <c r="M1" s="19"/>
      <c r="N1" s="18"/>
      <c r="O1" s="20"/>
      <c r="P1" s="19"/>
      <c r="Q1" s="18"/>
      <c r="R1" s="20"/>
      <c r="S1" s="19"/>
      <c r="T1" s="18"/>
      <c r="U1" s="20"/>
      <c r="V1" s="18"/>
      <c r="W1" s="18"/>
      <c r="X1" s="22"/>
    </row>
    <row r="2" spans="2:24" x14ac:dyDescent="0.25">
      <c r="B2" s="2">
        <v>35</v>
      </c>
      <c r="D2" s="23" t="s">
        <v>14</v>
      </c>
      <c r="E2" s="24" t="s">
        <v>47</v>
      </c>
      <c r="F2" s="18" t="s">
        <v>72</v>
      </c>
      <c r="G2" s="25" t="s">
        <v>76</v>
      </c>
      <c r="H2" s="24"/>
      <c r="I2" s="26" t="s">
        <v>32</v>
      </c>
      <c r="J2" s="25"/>
      <c r="K2" s="24"/>
      <c r="L2" s="24"/>
      <c r="M2" s="25"/>
      <c r="N2" s="24"/>
      <c r="O2" s="26"/>
      <c r="P2" s="25"/>
      <c r="Q2" s="24"/>
      <c r="R2" s="26"/>
      <c r="S2" s="25"/>
      <c r="T2" s="24"/>
      <c r="U2" s="26"/>
      <c r="V2" s="24"/>
      <c r="W2" s="24"/>
      <c r="X2" s="27"/>
    </row>
    <row r="3" spans="2:24" x14ac:dyDescent="0.25">
      <c r="B3" s="2">
        <v>27</v>
      </c>
      <c r="D3" s="17" t="s">
        <v>21</v>
      </c>
      <c r="E3" s="18" t="s">
        <v>48</v>
      </c>
      <c r="F3" s="18" t="s">
        <v>73</v>
      </c>
      <c r="G3" s="19" t="s">
        <v>77</v>
      </c>
      <c r="H3" s="18"/>
      <c r="I3" s="20" t="s">
        <v>32</v>
      </c>
      <c r="J3" s="19"/>
      <c r="K3" s="18"/>
      <c r="L3" s="18"/>
      <c r="M3" s="19"/>
      <c r="N3" s="18"/>
      <c r="O3" s="20"/>
      <c r="P3" s="19"/>
      <c r="Q3" s="18"/>
      <c r="R3" s="20"/>
      <c r="S3" s="19"/>
      <c r="T3" s="18"/>
      <c r="U3" s="20"/>
      <c r="V3" s="18"/>
      <c r="W3" s="18"/>
      <c r="X3" s="22"/>
    </row>
    <row r="4" spans="2:24" x14ac:dyDescent="0.25">
      <c r="B4" s="2">
        <v>13.5</v>
      </c>
      <c r="D4" s="23" t="s">
        <v>13</v>
      </c>
      <c r="E4" s="24" t="s">
        <v>84</v>
      </c>
      <c r="F4" s="18" t="s">
        <v>74</v>
      </c>
      <c r="G4" s="25" t="s">
        <v>78</v>
      </c>
      <c r="H4" s="24"/>
      <c r="I4" s="26" t="s">
        <v>32</v>
      </c>
      <c r="J4" s="25" t="s">
        <v>79</v>
      </c>
      <c r="K4" s="24"/>
      <c r="L4" s="24"/>
      <c r="M4" s="25"/>
      <c r="N4" s="24"/>
      <c r="O4" s="26"/>
      <c r="P4" s="25"/>
      <c r="Q4" s="24"/>
      <c r="R4" s="26"/>
      <c r="S4" s="25"/>
      <c r="T4" s="24"/>
      <c r="U4" s="26"/>
      <c r="V4" s="24"/>
      <c r="W4" s="24"/>
      <c r="X4" s="27"/>
    </row>
    <row r="5" spans="2:24" x14ac:dyDescent="0.25">
      <c r="B5" s="2">
        <v>25</v>
      </c>
      <c r="D5" s="17" t="s">
        <v>13</v>
      </c>
      <c r="E5" s="18" t="s">
        <v>82</v>
      </c>
      <c r="F5" s="18" t="s">
        <v>75</v>
      </c>
      <c r="G5" s="19" t="s">
        <v>83</v>
      </c>
      <c r="H5" s="18"/>
      <c r="I5" s="20"/>
      <c r="J5" s="19"/>
      <c r="K5" s="18"/>
      <c r="L5" s="18"/>
      <c r="M5" s="19"/>
      <c r="N5" s="18"/>
      <c r="O5" s="20"/>
      <c r="P5" s="19"/>
      <c r="Q5" s="18"/>
      <c r="R5" s="20"/>
      <c r="S5" s="19"/>
      <c r="T5" s="18"/>
      <c r="U5" s="20"/>
      <c r="V5" s="18"/>
      <c r="W5" s="18"/>
      <c r="X5" s="22"/>
    </row>
    <row r="7" spans="2:24" x14ac:dyDescent="0.25">
      <c r="B7" t="s">
        <v>49</v>
      </c>
    </row>
    <row r="8" spans="2:24" x14ac:dyDescent="0.25">
      <c r="B8" t="s">
        <v>50</v>
      </c>
    </row>
    <row r="9" spans="2:24" x14ac:dyDescent="0.25">
      <c r="B9" t="s">
        <v>51</v>
      </c>
    </row>
    <row r="10" spans="2:24" x14ac:dyDescent="0.25">
      <c r="B10" t="s">
        <v>52</v>
      </c>
    </row>
    <row r="11" spans="2:24" x14ac:dyDescent="0.25">
      <c r="B11" t="s">
        <v>53</v>
      </c>
    </row>
    <row r="12" spans="2:24" x14ac:dyDescent="0.25">
      <c r="B12">
        <v>123456789</v>
      </c>
    </row>
    <row r="13" spans="2:24" x14ac:dyDescent="0.25">
      <c r="B13" t="s">
        <v>54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38</vt:i4>
      </vt:variant>
    </vt:vector>
  </HeadingPairs>
  <TitlesOfParts>
    <vt:vector size="42" baseType="lpstr">
      <vt:lpstr>Brief</vt:lpstr>
      <vt:lpstr>Parameter</vt:lpstr>
      <vt:lpstr>Liste</vt:lpstr>
      <vt:lpstr>Beispiel</vt:lpstr>
      <vt:lpstr>adresse</vt:lpstr>
      <vt:lpstr>anrede</vt:lpstr>
      <vt:lpstr>anzEinschreib</vt:lpstr>
      <vt:lpstr>anzKinder</vt:lpstr>
      <vt:lpstr>anzMitgl</vt:lpstr>
      <vt:lpstr>AufnahmeJahr</vt:lpstr>
      <vt:lpstr>bank</vt:lpstr>
      <vt:lpstr>datenträger</vt:lpstr>
      <vt:lpstr>Brief!Druckbereich</vt:lpstr>
      <vt:lpstr>einschreibgeb</vt:lpstr>
      <vt:lpstr>einschreibsumme</vt:lpstr>
      <vt:lpstr>ermässigt</vt:lpstr>
      <vt:lpstr>exportfile</vt:lpstr>
      <vt:lpstr>FunktionenErwMitglieder</vt:lpstr>
      <vt:lpstr>gebührgesamt</vt:lpstr>
      <vt:lpstr>gitOrdner</vt:lpstr>
      <vt:lpstr>GruppierenNach</vt:lpstr>
      <vt:lpstr>konto</vt:lpstr>
      <vt:lpstr>kopfname</vt:lpstr>
      <vt:lpstr>lautend_auf</vt:lpstr>
      <vt:lpstr>LeiterÜbernehmen</vt:lpstr>
      <vt:lpstr>mglbeitragsumme</vt:lpstr>
      <vt:lpstr>mitglbeitrag</vt:lpstr>
      <vt:lpstr>mitglbeitragweitere</vt:lpstr>
      <vt:lpstr>neuregistrierungAb</vt:lpstr>
      <vt:lpstr>pfadis</vt:lpstr>
      <vt:lpstr>QRCode</vt:lpstr>
      <vt:lpstr>referenz</vt:lpstr>
      <vt:lpstr>reg</vt:lpstr>
      <vt:lpstr>regsumme</vt:lpstr>
      <vt:lpstr>regweitere</vt:lpstr>
      <vt:lpstr>texteinschreib</vt:lpstr>
      <vt:lpstr>textmglb</vt:lpstr>
      <vt:lpstr>textreg</vt:lpstr>
      <vt:lpstr>www</vt:lpstr>
      <vt:lpstr>zeilenindex</vt:lpstr>
      <vt:lpstr>zustext</vt:lpstr>
      <vt:lpstr>zvrzahl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kapl</dc:creator>
  <cp:lastModifiedBy>roland kapl</cp:lastModifiedBy>
  <cp:lastPrinted>2019-03-26T20:55:00Z</cp:lastPrinted>
  <dcterms:created xsi:type="dcterms:W3CDTF">2018-11-03T22:12:52Z</dcterms:created>
  <dcterms:modified xsi:type="dcterms:W3CDTF">2019-03-27T20:54:34Z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ec5bffa3-4835-416f-a61f-b81acebd7641</vt:lpwstr>
  </property>
</Properties>
</file>