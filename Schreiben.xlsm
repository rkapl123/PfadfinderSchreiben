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DieseArbeitsmappe" defaultThemeVersion="166925"/>
  <mc:AlternateContent xmlns:mc="http://schemas.openxmlformats.org/markup-compatibility/2006">
    <mc:Choice Requires="x15">
      <x15ac:absPath xmlns:x15ac="http://schemas.microsoft.com/office/spreadsheetml/2010/11/ac" url="C:\Users\rolan\Nextcloud\ElternratOrdner\Schriftführung\AutomatisierteSchreiben\"/>
    </mc:Choice>
  </mc:AlternateContent>
  <xr:revisionPtr revIDLastSave="0" documentId="8_{4EA085B7-2C51-4CED-8CB3-1158D77794EE}" xr6:coauthVersionLast="45" xr6:coauthVersionMax="45" xr10:uidLastSave="{00000000-0000-0000-0000-000000000000}"/>
  <bookViews>
    <workbookView xWindow="-120" yWindow="-120" windowWidth="29040" windowHeight="17790" tabRatio="423"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bodymsg">Brief!$H$3</definedName>
    <definedName name="ccrecipient">Brief!$I$2</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innerung">Brief!$G$8</definedName>
    <definedName name="ermässigt">Liste!$Z$8:$AB$8</definedName>
    <definedName name="exportfile">Liste!$AB$1</definedName>
    <definedName name="FunktionenErwMitglieder">Liste!$Z$12:$Z$17</definedName>
    <definedName name="gebührgesamt">Brief!$F$20</definedName>
    <definedName name="gitOrdner">Liste!$Z$22</definedName>
    <definedName name="GruppierenNach">Liste!$Z$19</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cipient">Brief!$E$3</definedName>
    <definedName name="referenz">Brief!$E$5</definedName>
    <definedName name="reg">Parameter!$B$4</definedName>
    <definedName name="regsumme">Brief!$F$18</definedName>
    <definedName name="regweitere">Parameter!$B$5</definedName>
    <definedName name="subject">Brief!$A$7</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 l="1"/>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E22" i="1" l="1"/>
  <c r="A19" i="1" s="1"/>
  <c r="A15" i="1" l="1"/>
  <c r="A14" i="1" l="1"/>
  <c r="A10" i="1"/>
  <c r="A20" i="1" l="1"/>
  <c r="E3" i="1" l="1"/>
  <c r="A1" i="1" l="1"/>
  <c r="A6" i="1" l="1"/>
  <c r="A2" i="1" l="1"/>
  <c r="A24" i="1"/>
  <c r="E4" i="1"/>
  <c r="A8" i="1" l="1"/>
  <c r="F16" i="1"/>
  <c r="A13" i="1" l="1"/>
  <c r="A12" i="1"/>
  <c r="F12" i="1"/>
  <c r="F13" i="1" l="1"/>
  <c r="F17" i="1" s="1"/>
  <c r="F11" i="1"/>
  <c r="I3" i="1" s="1"/>
  <c r="F15" i="1"/>
  <c r="F14" i="1"/>
  <c r="E5" i="1"/>
  <c r="A21" i="1" s="1"/>
  <c r="A3" i="1"/>
  <c r="J3" i="1" l="1"/>
  <c r="H3" i="1" s="1"/>
  <c r="Z10" i="3" l="1"/>
  <c r="D31" i="1"/>
  <c r="D30" i="1"/>
  <c r="A31" i="1"/>
  <c r="A30" i="1"/>
  <c r="A29" i="1"/>
  <c r="D29" i="1"/>
  <c r="A7" i="1" l="1"/>
  <c r="H2" i="1" s="1"/>
  <c r="A11" i="1"/>
  <c r="F19" i="1" l="1"/>
  <c r="F18" i="1" l="1"/>
  <c r="E21" i="1" s="1"/>
  <c r="A17" i="1" l="1"/>
  <c r="F20" i="1"/>
  <c r="E10" i="1" s="1"/>
  <c r="A1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leer lassen für interaktive Erstellung des Mails mit Outlook</t>
        </r>
        <r>
          <rPr>
            <sz val="9"/>
            <color indexed="81"/>
            <rFont val="Segoe UI"/>
            <family val="2"/>
          </rPr>
          <t xml:space="preserve">
</t>
        </r>
      </text>
    </commen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<sst xmlns="http://schemas.openxmlformats.org/spreadsheetml/2006/main" count="180" uniqueCount="119">
  <si>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</si>
  <si>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</si>
  <si>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</si>
  <si>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</si>
  <si>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</si>
  <si>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</si>
  <si>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</si>
  <si>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</si>
  <si>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</si>
  <si>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</si>
  <si>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</si>
  <si>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</si>
  <si>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</si>
  <si>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</si>
  <si>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</si>
  <si>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</si>
  <si>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</si>
  <si>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</si>
  <si>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</si>
  <si>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</si>
  <si>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</si>
  <si>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</si>
  <si>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</si>
  <si>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</si>
  <si>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</si>
  <si>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</si>
  <si>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</si>
  <si>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</si>
  <si>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</si>
  <si>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</si>
  <si>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</si>
  <si>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</si>
  <si>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</si>
  <si>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</si>
  <si>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</si>
  <si>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</si>
  <si>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</si>
  <si>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</si>
  <si>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</si>
  <si>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</si>
  <si>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</si>
  <si>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</si>
  <si>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</si>
  <si>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</si>
  <si>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</si>
  <si>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</si>
  <si>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</si>
  <si>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</si>
  <si>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</si>
  <si>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</si>
  <si>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</si>
  <si>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</si>
  <si>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</si>
  <si>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</si>
  <si>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</si>
  <si>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Neuregistrierungen ab:</t>
  </si>
  <si>
    <t>Nicht importieren wenn "Ermäßigt" auf:</t>
  </si>
  <si>
    <t>P</t>
  </si>
  <si>
    <t>PWA</t>
  </si>
  <si>
    <t>Datenträger für QR-Code:</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</si>
  <si>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</si>
  <si>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</si>
  <si>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</si>
  <si>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</si>
  <si>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</si>
  <si>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</si>
  <si>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</si>
  <si>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</si>
  <si>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</si>
  <si>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</si>
  <si>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</si>
  <si>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</si>
  <si>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</si>
  <si>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</si>
  <si>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</si>
  <si>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</si>
  <si>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</si>
  <si>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</si>
  <si>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</si>
  <si>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</si>
  <si>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</si>
  <si>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</si>
  <si>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</si>
  <si>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</si>
  <si>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</si>
  <si>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</si>
  <si>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</si>
  <si>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</si>
  <si>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</si>
  <si>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</si>
  <si>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</si>
  <si>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</si>
  <si>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</si>
  <si>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</si>
  <si>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</si>
  <si>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</si>
  <si>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pfadis:</t>
  </si>
  <si>
    <t>Anz. Kinder:</t>
  </si>
  <si>
    <t>gedeckelt:</t>
  </si>
  <si>
    <t>Anz. Mitgl.:</t>
  </si>
  <si>
    <t>Anz. Einschr</t>
  </si>
  <si>
    <t>MBeitrSum:</t>
  </si>
  <si>
    <t>RegBeitrSum:</t>
  </si>
  <si>
    <t>EinschrSum:</t>
  </si>
  <si>
    <t>Gesamt:</t>
  </si>
  <si>
    <t>TeilerNachreg:</t>
  </si>
  <si>
    <t>Gruppe Musterhausen</t>
  </si>
  <si>
    <t>Erinnerungsschreiben:</t>
  </si>
  <si>
    <t>rolandk@kapl.org</t>
  </si>
  <si>
    <t>Spalte1</t>
  </si>
  <si>
    <t>Falls die Knöpfe nicht funktionieren, unter Datei/Informationen, Inhalt (Makros) aktivieren…</t>
  </si>
  <si>
    <t>Funktionen Erwachsene Mitglieder (ohne Leiter):</t>
  </si>
  <si>
    <t>Zahlen mit Code (in der e-Banking App scannen):</t>
  </si>
  <si>
    <t>SCHR, REG</t>
  </si>
  <si>
    <t>GAB-Person-Export_2020-10-24.xls</t>
  </si>
  <si>
    <t>Ja</t>
  </si>
  <si>
    <t>Senderkonto@gmail.com</t>
  </si>
  <si>
    <t>Senderkonto passwort</t>
  </si>
  <si>
    <t>CC Empfängeradresse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</si>
</sst>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5"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43">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3" borderId="4" xfId="0" applyFill="1" applyBorder="1"/>
    <xf numFmtId="0" fontId="0" fillId="3"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7" xfId="0" applyFill="1" applyBorder="1"/>
    <xf numFmtId="0" fontId="0" fillId="0" borderId="4" xfId="0" applyBorder="1"/>
    <xf numFmtId="0" fontId="0" fillId="0" borderId="5" xfId="0" applyBorder="1"/>
    <xf numFmtId="0" fontId="0" fillId="0" borderId="8" xfId="0" applyBorder="1"/>
    <xf numFmtId="0" fontId="0" fillId="0" borderId="9" xfId="0" applyBorder="1"/>
    <xf numFmtId="0" fontId="0" fillId="0" borderId="7" xfId="0" applyBorder="1"/>
    <xf numFmtId="0" fontId="8" fillId="0" borderId="0" xfId="0" applyFont="1"/>
    <xf numFmtId="0" fontId="0" fillId="4" borderId="0" xfId="0" applyFill="1"/>
    <xf numFmtId="0" fontId="0" fillId="0" borderId="0" xfId="0" applyAlignment="1">
      <alignment horizontal="left"/>
    </xf>
    <xf numFmtId="0" fontId="0" fillId="3" borderId="5" xfId="0" applyFill="1" applyBorder="1" applyAlignment="1">
      <alignment wrapText="1"/>
    </xf>
    <xf numFmtId="0" fontId="11" fillId="0" borderId="0" xfId="0" applyFont="1"/>
    <xf numFmtId="1" fontId="0" fillId="0" borderId="0" xfId="0" applyNumberFormat="1"/>
    <xf numFmtId="14" fontId="0" fillId="0" borderId="0" xfId="0" applyNumberFormat="1"/>
    <xf numFmtId="0" fontId="10" fillId="0" borderId="0" xfId="0" applyFont="1" applyAlignment="1">
      <alignment wrapText="1"/>
    </xf>
    <xf numFmtId="0" fontId="0" fillId="2" borderId="13" xfId="0" applyFill="1" applyBorder="1"/>
    <xf numFmtId="0" fontId="0" fillId="2" borderId="14" xfId="0" applyFill="1" applyBorder="1" applyAlignment="1">
      <alignment wrapText="1"/>
    </xf>
    <xf numFmtId="0" fontId="0" fillId="0" borderId="0" xfId="0" applyAlignment="1"/>
    <xf numFmtId="0" fontId="0" fillId="5" borderId="0" xfId="0" applyFill="1"/>
    <xf numFmtId="0" fontId="0" fillId="0" borderId="0" xfId="0" applyFill="1"/>
    <xf numFmtId="0" fontId="0" fillId="0" borderId="0" xfId="0" applyAlignment="1">
      <alignment horizontal="left" vertical="top" wrapText="1"/>
    </xf>
    <xf numFmtId="0" fontId="10" fillId="0" borderId="10" xfId="0" quotePrefix="1" applyFont="1" applyBorder="1" applyAlignment="1">
      <alignment horizontal="left" vertical="top" wrapText="1"/>
    </xf>
    <xf numFmtId="0" fontId="10" fillId="0" borderId="11" xfId="0" quotePrefix="1" applyFont="1" applyBorder="1" applyAlignment="1">
      <alignment horizontal="left" vertical="top" wrapText="1"/>
    </xf>
    <xf numFmtId="0" fontId="10" fillId="0" borderId="12" xfId="0" quotePrefix="1" applyFont="1" applyBorder="1" applyAlignment="1">
      <alignment horizontal="left" vertical="top" wrapText="1"/>
    </xf>
  </cellXfs>
  <cellStyles count="2">
    <cellStyle name="Link" xfId="1" builtinId="8"/>
    <cellStyle name="Standard" xfId="0" builtinId="0"/>
  </cellStyles>
  <dxfs count="3">
    <dxf>
      <numFmt numFmtId="0" formatCode="Genera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Users\rolan\Nextcloud\ElternratOrdner\Schriftf&#252;hrung\AutomatisierteSchreiben\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1463625</xdr:colOff>
      <xdr:row>26</xdr:row>
      <xdr:rowOff>0</xdr:rowOff>
    </xdr:to>
    <xdr:pic>
      <xdr:nvPicPr>
        <xdr:cNvPr id="5" name="QRCODE_ZAHLUNG">
          <a:extLst>
            <a:ext uri="{FF2B5EF4-FFF2-40B4-BE49-F238E27FC236}">
              <a16:creationId xmlns:a16="http://schemas.microsoft.com/office/drawing/2014/main" id="{ED8842C1-6FB9-491C-90CC-7B5387929B50}"/>
            </a:ext>
          </a:extLst>
        </xdr:cNvPr>
        <xdr:cNvPicPr>
          <a:picLocks noChangeAspect="1"/>
        </xdr:cNvPicPr>
      </xdr:nvPicPr>
      <xdr:blipFill>
        <a:blip xmlns:r="http://schemas.openxmlformats.org/officeDocument/2006/relationships" r:link="rId1"/>
        <a:stretch>
          <a:fillRect/>
        </a:stretch>
      </xdr:blipFill>
      <xdr:spPr>
        <a:xfrm>
          <a:off x="0" y="8058150"/>
          <a:ext cx="14636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Y72" totalsRowShown="0">
  <sortState xmlns:xlrd2="http://schemas.microsoft.com/office/spreadsheetml/2017/richdata2" ref="A2:Y72">
    <sortCondition ref="B2"/>
  </sortState>
  <tableColumns count="25">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tableColumn id="3" xr3:uid="{00000000-0010-0000-0000-000003000000}" name="Vorname1"/>
    <tableColumn id="4" xr3:uid="{00000000-0010-0000-0000-000004000000}" name="Einschreib1"/>
    <tableColumn id="12" xr3:uid="{00000000-0010-0000-0000-00000C000000}" name="Ermäßigt1"/>
    <tableColumn id="5" xr3:uid="{00000000-0010-0000-0000-000005000000}" name="Vorname2"/>
    <tableColumn id="6" xr3:uid="{00000000-0010-0000-0000-000006000000}" name="Einschreib2"/>
    <tableColumn id="13" xr3:uid="{00000000-0010-0000-0000-00000D000000}" name="Ermäßigt2"/>
    <tableColumn id="7" xr3:uid="{00000000-0010-0000-0000-000007000000}" name="Vorname3"/>
    <tableColumn id="8" xr3:uid="{00000000-0010-0000-0000-000008000000}" name="Einschreib3"/>
    <tableColumn id="14" xr3:uid="{00000000-0010-0000-0000-00000E000000}" name="Ermäßigt3"/>
    <tableColumn id="9" xr3:uid="{00000000-0010-0000-0000-000009000000}" name="Vorname4"/>
    <tableColumn id="10" xr3:uid="{00000000-0010-0000-0000-00000A000000}" name="Einschreib4"/>
    <tableColumn id="15" xr3:uid="{00000000-0010-0000-0000-00000F000000}" name="Ermäßigt4"/>
    <tableColumn id="11" xr3:uid="{00000000-0010-0000-0000-00000B000000}" name="Vorname5"/>
    <tableColumn id="16" xr3:uid="{00000000-0010-0000-0000-000010000000}" name="Einschreib5"/>
    <tableColumn id="17" xr3:uid="{00000000-0010-0000-0000-000011000000}" name="Ermäßigt5"/>
    <tableColumn id="18" xr3:uid="{00000000-0010-0000-0000-000012000000}" name="Vorname6"/>
    <tableColumn id="19" xr3:uid="{00000000-0010-0000-0000-000013000000}" name="Einschreib6"/>
    <tableColumn id="20" xr3:uid="{00000000-0010-0000-0000-000014000000}" name="Ermäßigt6"/>
    <tableColumn id="22" xr3:uid="{00000000-0010-0000-0000-000016000000}" name="Summe"/>
    <tableColumn id="25" xr3:uid="{8FF0A032-EB32-455F-8046-09809BC7D491}" name="Spalte1" dataDxfId="0">
      <calculatedColumnFormula>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zoomScale="85" zoomScaleNormal="85" zoomScaleSheetLayoutView="85" workbookViewId="0">
      <selection activeCell="B1" sqref="B1"/>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57.42578125" customWidth="1"/>
  </cols>
  <sheetData>
    <row r="1" spans="1:10" ht="31.5" customHeight="1" x14ac:dyDescent="0.25">
      <c r="A1" s="7" t="str">
        <f>kopfname</f>
        <v>Gruppe Musterhausen</v>
      </c>
      <c r="B1" s="2"/>
      <c r="E1">
        <v>1</v>
      </c>
      <c r="H1" s="38" t="s">
        <v>116</v>
      </c>
      <c r="I1" s="37" t="s">
        <v>117</v>
      </c>
      <c r="J1" s="38" t="s">
        <v>108</v>
      </c>
    </row>
    <row r="2" spans="1:10" ht="80.25" customHeight="1" x14ac:dyDescent="0.25">
      <c r="A2" s="28" t="str">
        <f>IF(INDEX(Liste[Anrede],zeilenindex)="Familie","Familie "&amp;INDEX(Liste[Name],zeilenindex),INDEX(Liste[Anrede],zeilenindex)&amp;" "&amp;INDEX(Liste[Name],zeilenindex)&amp;" "&amp;INDEX(Liste[Vorname1],zeilenindex))</f>
        <v>Familie Muster</v>
      </c>
      <c r="B2" s="2"/>
      <c r="F2" s="11"/>
      <c r="H2" s="33" t="str">
        <f>"mailsend-go.exe -smtp mail.ipax.at -port 587 -log logfile.txt auth -user "&amp;mailuser&amp;" -pass "&amp;mailpwd&amp;" -f "&amp;mailuser&amp;" -to "&amp;recipient&amp;" -cc "&amp;ccrecipient&amp;" -sub """&amp;subject&amp;""" body -msg """&amp;bodymsg&amp;""" attach -file Mitgliedsbeitragsbrief"&amp;zeilenindex&amp;".pdf -mime-type pdf"</f>
        <v>mailsend-go.exe -smtp mail.ipax.at -port 587 -log logfile.txt auth -user Senderkonto@gmail.com -pass Senderkonto passwort -f Senderkonto@gmail.com -to hinzkunz@muster.nix -cc CC Empfängeradresse -sub "Mitgliedsbeitrag 2020/21" body -msg "Liebe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 und Kunz.
Liebe Grüße,
Eure Gruppenleiter und Mitglieder des Elternrats." attach -file Mitgliedsbeitragsbrief1.pdf -mime-type pdf</v>
      </c>
      <c r="I2" s="38" t="s">
        <v>118</v>
      </c>
    </row>
    <row r="3" spans="1:10" ht="30.75" customHeight="1" x14ac:dyDescent="0.25">
      <c r="A3" s="1" t="str">
        <f>INDEX(Liste[Adresse],zeilenindex)</f>
        <v>Musterstrasse 8/15, 
4711 Musterhausen</v>
      </c>
      <c r="B3" s="2"/>
      <c r="E3" t="str">
        <f>IF(testmail="Ja",testkonto,INDEX(Liste[Email],zeilenindex))</f>
        <v>hinzkunz@muster.nix</v>
      </c>
      <c r="H3" s="1" t="str">
        <f>anrede&amp;","&amp;CHAR(10)&amp;IF(Erinnerung="Nein",J3,I3)&amp;CHAR(10)&amp;"Liebe Grüße,"&amp;CHAR(10)&amp;"Eure Gruppenleiter und Mitglieder des Elternrats."</f>
        <v>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 und Kunz.
Liebe Grüße,
Eure Gruppenleiter und Mitglieder des Elternrats.</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wichtig."&amp;CHAR(10)&amp;"Nach unseren Satzungen ist außerdem keine Registrierung beim Landesverband vorgesehen (somit keine Versicherung, keine Teilnahme an div. Aktivitäten z.b. Lager möglich!), wenn der Mitgliedsbeitrag nicht einbezahlt wird."&amp;CHAR(10)&amp;"Darüber hinaus wird die Mitgliedschaft am Ende des Pfadijahres beendet. Beiliegend nochmal der Mitgliedsbeitragsbrief für "&amp;IF(INDEX(Liste[Anrede],zeilenindex)="Familie",pfadis,"Dich")&amp;"."</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 und Kunz.</v>
      </c>
      <c r="J3" t="str">
        <f>"anbei der Mitgliedsbeitragsbrief für "&amp;IF(INDEX(Liste[Anrede],zeilenindex)="Familie",pfadis,"Dich")&amp;"."</f>
        <v>anbei der Mitgliedsbeitragsbrief für Hinz und 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110</v>
      </c>
    </row>
    <row r="5" spans="1:10"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10" x14ac:dyDescent="0.25">
      <c r="A6" s="8" t="str">
        <f>"Pfadfinder "&amp;kopfname&amp;", "&amp;adresse</f>
        <v>Pfadfinder Gruppe Musterhausen, 9999 Musterhausen, Beispielplatz 1</v>
      </c>
      <c r="B6" s="2"/>
      <c r="E6" t="s">
        <v>80</v>
      </c>
      <c r="G6" s="34" t="s">
        <v>28</v>
      </c>
    </row>
    <row r="7" spans="1:10" x14ac:dyDescent="0.25">
      <c r="A7" s="8" t="str">
        <f>"Mitgliedsbeitrag "&amp;AufnahmeJahr&amp;"/"&amp;RIGHT(AufnahmeJahr+1,2)</f>
        <v>Mitgliedsbeitrag 2020/21</v>
      </c>
      <c r="B7" s="2"/>
      <c r="E7" t="s">
        <v>95</v>
      </c>
      <c r="G7" s="35" t="s">
        <v>28</v>
      </c>
    </row>
    <row r="8" spans="1:10" ht="33" customHeight="1" x14ac:dyDescent="0.25">
      <c r="A8" t="str">
        <f>anrede&amp;"!"</f>
        <v>Liebe Familie Muster!</v>
      </c>
      <c r="B8" s="2"/>
      <c r="E8" t="s">
        <v>107</v>
      </c>
      <c r="G8" s="34" t="s">
        <v>115</v>
      </c>
    </row>
    <row r="9" spans="1:10" x14ac:dyDescent="0.25">
      <c r="E9" t="s">
        <v>59</v>
      </c>
    </row>
    <row r="10" spans="1:10" ht="150" customHeight="1" x14ac:dyDescent="0.25">
      <c r="A10" s="39"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(Kinder/Erwachsene) sind ab dem zweiten Mitglied halbiert, ab dem driten Kind wird kein Gruppenbeitrag mehr "&amp;"eingehoben, für erwachsene Mitglieder wird grundsätzlich nur der  Verbandsbeitrag eingehoben."&amp;"
Es ergeben sich somit folgende Mitgliedsbeiträge (unverändert zum Vorjahr):"</f>
        <v>Die Pfadfindergruppe 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(Kinder/Erwachsene) sind ab dem zweiten Mitglied halbiert, ab dem driten Kind wird kein Gruppenbeitrag mehr eingehoben, für erwachsene Mitglieder wird grundsätzlich nur der  Verbandsbeitrag eingehoben.
Es ergeben sich somit folgende Mitgliedsbeiträge (unverändert zum Vorjahr):</v>
      </c>
      <c r="B10" s="39"/>
      <c r="C10" s="39"/>
      <c r="D10" s="39"/>
      <c r="E10" s="40" t="str">
        <f>SUBSTITUTE(SUBSTITUTE(SUBSTITUTE(SUBSTITUTE(SUBSTITUTE(SUBSTITUTE(SUBSTITUTE("BCD"&amp;CHAR(10)&amp;"002"&amp;CHAR(10)&amp;"1"&amp;CHAR(10)&amp;"SCT"&amp;CHAR(10)&amp;CHAR(10)&amp;lautend_auf&amp;CHAR(10)&amp;konto&amp;CHAR(10)&amp;"EUR"&amp;SUBSTITUTE(gebührgesamt,",",".")&amp;CHAR(10)&amp;CHAR(10)&amp;LEFT(referenz,31)&amp;RIGHT(AufnahmeJahr,2)&amp;RIGHT(AufnahmeJahr,2)+1&amp;CHAR(10)&amp;CHAR(10)&amp;zustext,"ü","ue"),"ö","oe"),"ä","ae"),"Ü","Ue"),"Ö","Oe"),"Ä","Ae"),"ß","ss")</f>
        <v>BCD
002
1
SCT
PPOe Pfadfindergruppe Musterhausen
AT12345600000987654
EUR199.5
MusterHinzKunz2021
Verband: 44,5;Gruppe:105;Einschreib:50</v>
      </c>
      <c r="F10" s="41"/>
      <c r="G10" s="42"/>
    </row>
    <row r="11" spans="1:10" x14ac:dyDescent="0.25">
      <c r="A11" t="str">
        <f>"für das 1. Mitglied: € "&amp;TEXT(mitglbeitrag+reg,"0,00")&amp;" (Verbandsbeitrag: "&amp;TEXT(reg,"0,00")&amp;"; Gruppenbeitrag: "&amp;TEXT(mitglbeitrag,"0,00")&amp;")"</f>
        <v>für das 1. Mitglied: € 98,00 (Verbandsbeitrag: 28,00; Gruppenbeitrag: 70,00)</v>
      </c>
      <c r="E11" t="s">
        <v>96</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97</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10" x14ac:dyDescent="0.25">
      <c r="A13" t="str">
        <f>"für das 3. Mitglied und alle weiteren: nur mehr den Verbandsbeitrag: € "&amp;TEXT(regweitere,"0,00")</f>
        <v>für das 3. Mitglied und alle weiteren: nur mehr den Verbandsbeitrag: € 16,50</v>
      </c>
      <c r="E13" t="s">
        <v>98</v>
      </c>
      <c r="F13">
        <f>MIN(vorAnzahlKinder,maxAnzahlMglBtr)</f>
        <v>2</v>
      </c>
    </row>
    <row r="14" spans="1:10" x14ac:dyDescent="0.25">
      <c r="A14" t="str">
        <f>"Zum Eintritt wird für jedes Kind auch eine einmalige Einschreibgebühr von € "&amp;TEXT(einschreibgeb,"0,00")&amp;" (Halstuch, etc.) eingehoben."</f>
        <v>Zum Eintritt wird für jedes Kind auch eine einmalige Einschreibgebühr von € 25,00 (Halstuch, etc.) eingehoben.</v>
      </c>
      <c r="E14" t="s">
        <v>99</v>
      </c>
      <c r="F14">
        <f>IF(INDEX(Liste[Vorname1],zeilenindex)&lt;&gt;"",1,0)+IF(INDEX(Liste[Vorname2],zeilenindex)&lt;&gt;"",1,0)+IF(INDEX(Liste[Vorname3],zeilenindex)&lt;&gt;"",1,0)+IF(INDEX(Liste[Vorname4],zeilenindex)&lt;&gt;"",1,0)+IF(INDEX(Liste[Vorname5],zeilenindex)&lt;&gt;"",1,0)+IF(INDEX(Liste[Vorname6],zeilenindex)&lt;&gt;"",1,0)</f>
        <v>2</v>
      </c>
    </row>
    <row r="15" spans="1:10" x14ac:dyDescent="0.25">
      <c r="A15" t="str">
        <f>IF(nachreg="Ja","Für Nachregistrierungen (ab Sommersemester) wird der Gruppenbeitrag halbiert.","")</f>
        <v/>
      </c>
      <c r="E15" t="s">
        <v>100</v>
      </c>
      <c r="F15">
        <f>IF(INDEX(Liste[Einschreib1],zeilenindex)&lt;&gt;"",1,0)+IF(INDEX(Liste[Einschreib2],zeilenindex)&lt;&gt;"",1,0)+IF(INDEX(Liste[Einschreib3],zeilenindex)&lt;&gt;"",1,0)+IF(INDEX(Liste[Einschreib4],zeilenindex)&lt;&gt;"",1,0)+IF(INDEX(Liste[Einschreib5],zeilenindex)&lt;&gt;"",1,0)+IF(INDEX(Liste[Einschreib6],zeilenindex)&lt;&gt;"",1,0)</f>
        <v>2</v>
      </c>
    </row>
    <row r="16" spans="1:10" x14ac:dyDescent="0.25">
      <c r="A16" s="30" t="str">
        <f>"Der gesamte zu zahlende Betrag für "&amp;IF(INDEX(Liste[Anrede],zeilenindex)="Familie",pfadis,"Dich")&amp;" ist somit: € "&amp;TEXT(gebührgesamt,"0,00")</f>
        <v>Der gesamte zu zahlende Betrag für Hinz und Kunz ist somit: € 199,50</v>
      </c>
      <c r="E16" t="s">
        <v>105</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101</v>
      </c>
      <c r="F17">
        <f>IF(anzKinder&gt;0,mitglbeitrag+mitglbeitragweitere*(anzKinder-1),0)/teiler</f>
        <v>105</v>
      </c>
    </row>
    <row r="18" spans="1:6" x14ac:dyDescent="0.25">
      <c r="E18" t="s">
        <v>102</v>
      </c>
      <c r="F18">
        <f>IF(anzMitgl&gt;0,reg+regweitere*(anzMitgl-1),0)</f>
        <v>44.5</v>
      </c>
    </row>
    <row r="19" spans="1:6" x14ac:dyDescent="0.25">
      <c r="A19" t="str">
        <f>"Bitte obigen Betrag "&amp;IF(nachreg="Nein",E22,"")&amp;" auf das Konto"</f>
        <v>Bitte obigen Betrag bis spätestens 25. November (Einhaltung Frist für Registrierung beim Landesverband!) auf das Konto</v>
      </c>
      <c r="E19" t="s">
        <v>103</v>
      </c>
      <c r="F19">
        <f>einschreibgeb*anzEinschreib</f>
        <v>50</v>
      </c>
    </row>
    <row r="20" spans="1:6" x14ac:dyDescent="0.25">
      <c r="A20" t="str">
        <f>konto&amp;" bei der "&amp;bank&amp;", lautend auf """&amp;lautend_auf&amp;""""</f>
        <v>AT12345600000987654 bei der Musterhausenbank, lautend auf "PPÖ Pfadfindergruppe Musterhausen"</v>
      </c>
      <c r="E20" t="s">
        <v>104</v>
      </c>
      <c r="F20">
        <f>mglbeitragsumme+regsumme+einschreibsumme</f>
        <v>199.5</v>
      </c>
    </row>
    <row r="21" spans="1:6" x14ac:dyDescent="0.25">
      <c r="A21" t="str">
        <f>"überweisen. Als Verwendungszweck bitte "&amp;referenz&amp;RIGHT(AufnahmeJahr,2)&amp;"/"&amp;RIGHT(AufnahmeJahr,2)+1&amp;" angeben."</f>
        <v>überweisen. Als Verwendungszweck bitte MusterHinzKunz20/21 angeben.</v>
      </c>
      <c r="E21" s="3" t="str">
        <f>"Verband: "&amp;regsumme&amp;";Gruppe:"&amp;mglbeitragsumme&amp;IF(einschreibsumme&gt;0,";Einschreib:"&amp;einschreibsumme,"")</f>
        <v>Verband: 44,5;Gruppe:105;Einschreib:50</v>
      </c>
    </row>
    <row r="22" spans="1:6" x14ac:dyDescent="0.25">
      <c r="E22" t="str">
        <f>"bis spätestens "&amp;IF(Erinnerung="Ja","25. ","15. ")&amp;"November (Einhaltung Frist für Registrierung beim Landesverband!)"</f>
        <v>bis spätestens 25. November (Einhaltung Frist für Registrierung beim Landesverband!)</v>
      </c>
    </row>
    <row r="23" spans="1:6" x14ac:dyDescent="0.25">
      <c r="A23" t="s">
        <v>14</v>
      </c>
    </row>
    <row r="24" spans="1:6" x14ac:dyDescent="0.25">
      <c r="A24" t="str">
        <f>IF(INDEX(Liste[Anrede],zeilenindex)="Familie","Eure ","Deine ")&amp;"Gruppenleiter und Mitglieder des Elternrats"</f>
        <v>Eure Gruppenleiter und Mitglieder des Elternrats</v>
      </c>
    </row>
    <row r="25" spans="1:6" ht="24" customHeight="1" x14ac:dyDescent="0.25">
      <c r="A25" t="s">
        <v>112</v>
      </c>
    </row>
    <row r="26" spans="1:6" ht="114.75" customHeight="1" x14ac:dyDescent="0.25"/>
    <row r="27" spans="1:6" ht="19.5" customHeight="1" x14ac:dyDescent="0.25"/>
    <row r="28" spans="1:6" x14ac:dyDescent="0.25">
      <c r="A28" s="5" t="s">
        <v>26</v>
      </c>
      <c r="D28" s="6" t="s">
        <v>27</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G8"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25</v>
      </c>
      <c r="B2" s="2">
        <v>35</v>
      </c>
    </row>
    <row r="3" spans="1:4" x14ac:dyDescent="0.25">
      <c r="A3" t="s">
        <v>77</v>
      </c>
      <c r="B3" s="31">
        <v>2</v>
      </c>
    </row>
    <row r="4" spans="1:4" x14ac:dyDescent="0.25">
      <c r="A4" t="s">
        <v>1</v>
      </c>
      <c r="B4" s="2">
        <v>28</v>
      </c>
    </row>
    <row r="5" spans="1:4" x14ac:dyDescent="0.25">
      <c r="A5" t="s">
        <v>2</v>
      </c>
      <c r="B5" s="2">
        <v>16.5</v>
      </c>
    </row>
    <row r="6" spans="1:4" x14ac:dyDescent="0.25">
      <c r="A6" t="s">
        <v>3</v>
      </c>
      <c r="B6" s="2">
        <v>25</v>
      </c>
    </row>
    <row r="7" spans="1:4" x14ac:dyDescent="0.25">
      <c r="A7" t="s">
        <v>34</v>
      </c>
      <c r="B7" t="s">
        <v>106</v>
      </c>
    </row>
    <row r="8" spans="1:4" x14ac:dyDescent="0.25">
      <c r="A8" t="s">
        <v>4</v>
      </c>
      <c r="B8" t="s">
        <v>45</v>
      </c>
    </row>
    <row r="9" spans="1:4" x14ac:dyDescent="0.25">
      <c r="A9" t="s">
        <v>5</v>
      </c>
      <c r="B9" t="s">
        <v>46</v>
      </c>
      <c r="D9" s="26"/>
    </row>
    <row r="10" spans="1:4" x14ac:dyDescent="0.25">
      <c r="A10" t="s">
        <v>15</v>
      </c>
      <c r="B10" t="s">
        <v>47</v>
      </c>
    </row>
    <row r="11" spans="1:4" x14ac:dyDescent="0.25">
      <c r="A11" t="s">
        <v>31</v>
      </c>
      <c r="B11" t="s">
        <v>48</v>
      </c>
    </row>
    <row r="12" spans="1:4" x14ac:dyDescent="0.25">
      <c r="A12" t="s">
        <v>32</v>
      </c>
      <c r="B12">
        <v>123456789</v>
      </c>
    </row>
    <row r="13" spans="1:4" x14ac:dyDescent="0.25">
      <c r="A13" t="s">
        <v>33</v>
      </c>
      <c r="B13" t="s">
        <v>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72"/>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31.28515625" customWidth="1"/>
    <col min="5" max="5" width="10.42578125" style="36" customWidth="1"/>
    <col min="6" max="6" width="9.28515625" customWidth="1"/>
    <col min="7" max="7" width="4" customWidth="1" outlineLevel="1"/>
    <col min="8" max="8" width="4.7109375" customWidth="1" outlineLevel="1"/>
    <col min="9" max="9" width="8.140625" customWidth="1" outlineLevel="1"/>
    <col min="10" max="10" width="4" customWidth="1" outlineLevel="1"/>
    <col min="11" max="11" width="5.140625" customWidth="1" outlineLevel="1"/>
    <col min="12" max="12" width="10.140625" customWidth="1" outlineLevel="1"/>
    <col min="13" max="14" width="4" customWidth="1" outlineLevel="1"/>
    <col min="15" max="15" width="8.85546875" customWidth="1" outlineLevel="1"/>
    <col min="16" max="16" width="4" customWidth="1" outlineLevel="1"/>
    <col min="17" max="17" width="4.5703125" customWidth="1" outlineLevel="1"/>
    <col min="18" max="18" width="10" customWidth="1" outlineLevel="1"/>
    <col min="19" max="19" width="4" customWidth="1" outlineLevel="1"/>
    <col min="20" max="20" width="4.140625" customWidth="1" outlineLevel="1"/>
    <col min="21" max="21" width="8.5703125" customWidth="1" outlineLevel="1"/>
    <col min="22" max="22" width="4.7109375" customWidth="1" outlineLevel="1"/>
    <col min="23" max="23" width="3.85546875" customWidth="1" outlineLevel="1"/>
    <col min="24" max="24" width="8.140625" customWidth="1"/>
    <col min="25" max="25" width="9.42578125" customWidth="1"/>
    <col min="26" max="26" width="10" customWidth="1"/>
  </cols>
  <sheetData>
    <row r="1" spans="1:30" x14ac:dyDescent="0.25">
      <c r="A1" t="s">
        <v>11</v>
      </c>
      <c r="B1" t="s">
        <v>6</v>
      </c>
      <c r="C1" t="s">
        <v>83</v>
      </c>
      <c r="D1" t="s">
        <v>82</v>
      </c>
      <c r="E1" s="36" t="s">
        <v>60</v>
      </c>
      <c r="F1" s="12" t="s">
        <v>16</v>
      </c>
      <c r="G1" s="13" t="s">
        <v>7</v>
      </c>
      <c r="H1" s="14" t="s">
        <v>21</v>
      </c>
      <c r="I1" t="s">
        <v>17</v>
      </c>
      <c r="J1" t="s">
        <v>8</v>
      </c>
      <c r="K1" t="s">
        <v>22</v>
      </c>
      <c r="L1" s="12" t="s">
        <v>18</v>
      </c>
      <c r="M1" s="13" t="s">
        <v>9</v>
      </c>
      <c r="N1" s="14" t="s">
        <v>23</v>
      </c>
      <c r="O1" s="12" t="s">
        <v>19</v>
      </c>
      <c r="P1" s="13" t="s">
        <v>10</v>
      </c>
      <c r="Q1" s="14" t="s">
        <v>24</v>
      </c>
      <c r="R1" s="12" t="s">
        <v>35</v>
      </c>
      <c r="S1" s="13" t="s">
        <v>36</v>
      </c>
      <c r="T1" s="14" t="s">
        <v>37</v>
      </c>
      <c r="U1" s="12" t="s">
        <v>38</v>
      </c>
      <c r="V1" s="13" t="s">
        <v>39</v>
      </c>
      <c r="W1" s="14" t="s">
        <v>40</v>
      </c>
      <c r="X1" t="s">
        <v>78</v>
      </c>
      <c r="Y1" t="s">
        <v>109</v>
      </c>
      <c r="Z1" s="3" t="s">
        <v>81</v>
      </c>
      <c r="AB1" s="10" t="s">
        <v>114</v>
      </c>
    </row>
    <row r="2" spans="1:30" ht="13.5" customHeight="1" x14ac:dyDescent="0.25">
      <c r="A2" s="15" t="s">
        <v>12</v>
      </c>
      <c r="B2" s="16" t="s">
        <v>42</v>
      </c>
      <c r="C2" s="16" t="s">
        <v>84</v>
      </c>
      <c r="D2" t="s">
        <v>89</v>
      </c>
      <c r="E2" s="29" t="s">
        <v>72</v>
      </c>
      <c r="F2" s="17" t="s">
        <v>66</v>
      </c>
      <c r="G2" s="16" t="s">
        <v>30</v>
      </c>
      <c r="H2" s="18"/>
      <c r="I2" s="17" t="s">
        <v>67</v>
      </c>
      <c r="J2" s="19" t="s">
        <v>30</v>
      </c>
      <c r="K2" s="19"/>
      <c r="L2" s="17"/>
      <c r="M2" s="16"/>
      <c r="N2" s="18"/>
      <c r="O2" s="17"/>
      <c r="P2" s="16"/>
      <c r="Q2" s="18"/>
      <c r="R2" s="17"/>
      <c r="S2" s="16"/>
      <c r="T2" s="18"/>
      <c r="U2" s="16"/>
      <c r="V2" s="16"/>
      <c r="W2" s="20"/>
      <c r="Y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199.5</v>
      </c>
    </row>
    <row r="3" spans="1:30" ht="13.5" customHeight="1" x14ac:dyDescent="0.25">
      <c r="A3" s="21" t="s">
        <v>13</v>
      </c>
      <c r="B3" s="22" t="s">
        <v>43</v>
      </c>
      <c r="C3" s="22" t="s">
        <v>85</v>
      </c>
      <c r="D3" t="s">
        <v>90</v>
      </c>
      <c r="E3" s="29" t="s">
        <v>73</v>
      </c>
      <c r="F3" s="23" t="s">
        <v>62</v>
      </c>
      <c r="G3" s="22"/>
      <c r="H3" s="24" t="s">
        <v>29</v>
      </c>
      <c r="I3" s="23"/>
      <c r="J3" s="22"/>
      <c r="K3" s="22"/>
      <c r="L3" s="23"/>
      <c r="M3" s="22"/>
      <c r="N3" s="24"/>
      <c r="O3" s="23"/>
      <c r="P3" s="22"/>
      <c r="Q3" s="24"/>
      <c r="R3" s="23"/>
      <c r="S3" s="22"/>
      <c r="T3" s="24"/>
      <c r="U3" s="22"/>
      <c r="V3" s="22"/>
      <c r="W3" s="25"/>
      <c r="Y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row>
    <row r="4" spans="1:30" ht="13.5" customHeight="1" x14ac:dyDescent="0.25">
      <c r="A4" s="15" t="s">
        <v>20</v>
      </c>
      <c r="B4" s="16" t="s">
        <v>44</v>
      </c>
      <c r="C4" s="16" t="s">
        <v>86</v>
      </c>
      <c r="D4" t="s">
        <v>91</v>
      </c>
      <c r="E4" s="29" t="s">
        <v>74</v>
      </c>
      <c r="F4" s="17" t="s">
        <v>63</v>
      </c>
      <c r="G4" s="16"/>
      <c r="H4" s="18" t="s">
        <v>29</v>
      </c>
      <c r="I4" s="17"/>
      <c r="J4" s="16"/>
      <c r="K4" s="16"/>
      <c r="L4" s="17"/>
      <c r="M4" s="16"/>
      <c r="N4" s="18"/>
      <c r="O4" s="17"/>
      <c r="P4" s="16"/>
      <c r="Q4" s="18"/>
      <c r="R4" s="17"/>
      <c r="S4" s="16"/>
      <c r="T4" s="18"/>
      <c r="U4" s="16"/>
      <c r="V4" s="16"/>
      <c r="W4" s="20"/>
      <c r="Y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row>
    <row r="5" spans="1:30" ht="13.5" customHeight="1" x14ac:dyDescent="0.25">
      <c r="A5" s="21" t="s">
        <v>12</v>
      </c>
      <c r="B5" s="22" t="s">
        <v>70</v>
      </c>
      <c r="C5" s="22" t="s">
        <v>87</v>
      </c>
      <c r="D5" t="s">
        <v>93</v>
      </c>
      <c r="E5" s="29" t="s">
        <v>75</v>
      </c>
      <c r="F5" s="23" t="s">
        <v>64</v>
      </c>
      <c r="G5" s="22"/>
      <c r="H5" s="24" t="s">
        <v>29</v>
      </c>
      <c r="I5" s="23" t="s">
        <v>65</v>
      </c>
      <c r="J5" s="22"/>
      <c r="K5" s="22"/>
      <c r="L5" s="23"/>
      <c r="M5" s="22"/>
      <c r="N5" s="24"/>
      <c r="O5" s="23"/>
      <c r="P5" s="22"/>
      <c r="Q5" s="24"/>
      <c r="R5" s="23"/>
      <c r="S5" s="22"/>
      <c r="T5" s="24"/>
      <c r="U5" s="22"/>
      <c r="V5" s="22"/>
      <c r="W5" s="25"/>
      <c r="Y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79.5</v>
      </c>
      <c r="Z5" t="s">
        <v>71</v>
      </c>
    </row>
    <row r="6" spans="1:30" ht="13.5" customHeight="1" x14ac:dyDescent="0.25">
      <c r="A6" s="15" t="s">
        <v>12</v>
      </c>
      <c r="B6" s="16" t="s">
        <v>68</v>
      </c>
      <c r="C6" s="16" t="s">
        <v>88</v>
      </c>
      <c r="D6" t="s">
        <v>92</v>
      </c>
      <c r="E6" s="29" t="s">
        <v>76</v>
      </c>
      <c r="F6" s="17" t="s">
        <v>69</v>
      </c>
      <c r="G6" s="16"/>
      <c r="H6" s="18"/>
      <c r="I6" s="17"/>
      <c r="J6" s="16"/>
      <c r="K6" s="16"/>
      <c r="L6" s="17"/>
      <c r="M6" s="16"/>
      <c r="N6" s="18"/>
      <c r="O6" s="17"/>
      <c r="P6" s="16"/>
      <c r="Q6" s="18"/>
      <c r="R6" s="17"/>
      <c r="S6" s="16"/>
      <c r="T6" s="18"/>
      <c r="U6" s="16"/>
      <c r="V6" s="16"/>
      <c r="W6" s="20"/>
      <c r="Y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98</v>
      </c>
      <c r="Z6" s="27">
        <v>2020</v>
      </c>
    </row>
    <row r="7" spans="1:30" ht="13.5" customHeight="1" x14ac:dyDescent="0.25">
      <c r="E7" s="1"/>
      <c r="Y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7" t="s">
        <v>56</v>
      </c>
    </row>
    <row r="8" spans="1:30" ht="13.5" customHeight="1" x14ac:dyDescent="0.25">
      <c r="E8" s="1"/>
      <c r="Y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8" s="10" t="s">
        <v>57</v>
      </c>
      <c r="AA8" s="10" t="s">
        <v>58</v>
      </c>
      <c r="AB8" s="10"/>
    </row>
    <row r="9" spans="1:30" ht="13.5" customHeight="1" x14ac:dyDescent="0.25">
      <c r="E9" s="1"/>
      <c r="Y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9" t="s">
        <v>55</v>
      </c>
      <c r="AD9" s="3"/>
    </row>
    <row r="10" spans="1:30" ht="13.5" customHeight="1" x14ac:dyDescent="0.25">
      <c r="E10" s="1"/>
      <c r="Y1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0" s="32">
        <f>DATE(AufnahmeJahr,AA10,AB10)</f>
        <v>44007</v>
      </c>
      <c r="AA10" s="10">
        <v>6</v>
      </c>
      <c r="AB10" s="10">
        <v>25</v>
      </c>
    </row>
    <row r="11" spans="1:30" ht="13.5" customHeight="1" x14ac:dyDescent="0.25">
      <c r="E11" s="1"/>
      <c r="Y1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1" t="s">
        <v>111</v>
      </c>
    </row>
    <row r="12" spans="1:30" ht="13.5" customHeight="1" x14ac:dyDescent="0.25">
      <c r="E12" s="1"/>
      <c r="Y1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2" s="10" t="s">
        <v>51</v>
      </c>
    </row>
    <row r="13" spans="1:30" ht="13.5" customHeight="1" x14ac:dyDescent="0.25">
      <c r="E13" s="1"/>
      <c r="Y1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3" s="10" t="s">
        <v>52</v>
      </c>
    </row>
    <row r="14" spans="1:30" ht="13.5" customHeight="1" x14ac:dyDescent="0.25">
      <c r="E14" s="1"/>
      <c r="Y1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4" s="10" t="s">
        <v>53</v>
      </c>
    </row>
    <row r="15" spans="1:30" ht="13.5" customHeight="1" x14ac:dyDescent="0.25">
      <c r="E15" s="1"/>
      <c r="Y1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5" s="10" t="s">
        <v>54</v>
      </c>
    </row>
    <row r="16" spans="1:30" ht="13.5" customHeight="1" x14ac:dyDescent="0.25">
      <c r="E16" s="1"/>
      <c r="Y1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6" s="10" t="s">
        <v>113</v>
      </c>
    </row>
    <row r="17" spans="5:26" ht="13.5" customHeight="1" x14ac:dyDescent="0.25">
      <c r="E17" s="1"/>
      <c r="Y1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7" s="10" t="s">
        <v>50</v>
      </c>
    </row>
    <row r="18" spans="5:26" ht="13.5" customHeight="1" x14ac:dyDescent="0.25">
      <c r="E18" s="1"/>
      <c r="Y1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8" t="s">
        <v>61</v>
      </c>
    </row>
    <row r="19" spans="5:26" ht="13.5" customHeight="1" x14ac:dyDescent="0.25">
      <c r="E19" s="1"/>
      <c r="Y1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9" s="10" t="s">
        <v>79</v>
      </c>
    </row>
    <row r="20" spans="5:26" ht="13.5" customHeight="1" x14ac:dyDescent="0.25">
      <c r="E20" s="1"/>
      <c r="Y2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1" spans="5:26" ht="13.5" customHeight="1" x14ac:dyDescent="0.25">
      <c r="E21" s="1"/>
      <c r="Y2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2" spans="5:26" ht="13.5" customHeight="1" x14ac:dyDescent="0.25">
      <c r="E22" s="1"/>
      <c r="Y2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22" t="s">
        <v>41</v>
      </c>
    </row>
    <row r="23" spans="5:26" ht="13.5" customHeight="1" x14ac:dyDescent="0.25">
      <c r="E23" s="1"/>
      <c r="Y2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4" spans="5:26" ht="13.5" customHeight="1" x14ac:dyDescent="0.25">
      <c r="E24" s="1"/>
      <c r="Y2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5" spans="5:26" ht="13.5" customHeight="1" x14ac:dyDescent="0.25">
      <c r="E25" s="1"/>
      <c r="Y2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6" spans="5:26" ht="13.5" customHeight="1" x14ac:dyDescent="0.25">
      <c r="E26" s="1"/>
      <c r="Y2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7" spans="5:26" ht="13.5" customHeight="1" x14ac:dyDescent="0.25">
      <c r="E27" s="1"/>
      <c r="Y2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8" spans="5:26" ht="13.5" customHeight="1" x14ac:dyDescent="0.25">
      <c r="E28" s="1"/>
      <c r="Y2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9" spans="5:26" ht="13.5" customHeight="1" x14ac:dyDescent="0.25">
      <c r="E29" s="1"/>
      <c r="Y2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0" spans="5:26" ht="13.5" customHeight="1" x14ac:dyDescent="0.25">
      <c r="E30" s="1"/>
      <c r="Y3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1" spans="5:26" ht="13.5" customHeight="1" x14ac:dyDescent="0.25">
      <c r="E31" s="1"/>
      <c r="Y3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2" spans="5:26" ht="13.5" customHeight="1" x14ac:dyDescent="0.25">
      <c r="E32" s="1"/>
      <c r="Y3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3" spans="5:25" ht="13.5" customHeight="1" x14ac:dyDescent="0.25">
      <c r="E33" s="1"/>
      <c r="Y3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4" spans="5:25" ht="13.5" customHeight="1" x14ac:dyDescent="0.25">
      <c r="E34" s="1"/>
      <c r="Y3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5" spans="5:25" ht="13.5" customHeight="1" x14ac:dyDescent="0.25">
      <c r="E35" s="1"/>
      <c r="Y3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6" spans="5:25" ht="13.5" customHeight="1" x14ac:dyDescent="0.25">
      <c r="E36" s="1"/>
      <c r="Y3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7" spans="5:25" ht="13.5" customHeight="1" x14ac:dyDescent="0.25">
      <c r="E37" s="1"/>
      <c r="Y3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8" spans="5:25" ht="13.5" customHeight="1" x14ac:dyDescent="0.25">
      <c r="E38" s="1"/>
      <c r="Y3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9" spans="5:25" ht="13.5" customHeight="1" x14ac:dyDescent="0.25">
      <c r="E39" s="1"/>
      <c r="Y3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0" spans="5:25" ht="13.5" customHeight="1" x14ac:dyDescent="0.25">
      <c r="E40" s="1"/>
      <c r="Y4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1" spans="5:25" ht="13.5" customHeight="1" x14ac:dyDescent="0.25">
      <c r="E41" s="1"/>
      <c r="Y4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2" spans="5:25" ht="13.5" customHeight="1" x14ac:dyDescent="0.25">
      <c r="E42" s="1"/>
      <c r="Y4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3" spans="5:25" ht="13.5" customHeight="1" x14ac:dyDescent="0.25">
      <c r="E43" s="1"/>
      <c r="Y4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4" spans="5:25" ht="13.5" customHeight="1" x14ac:dyDescent="0.25">
      <c r="E44" s="1"/>
      <c r="Y4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5" spans="5:25" ht="13.5" customHeight="1" x14ac:dyDescent="0.25">
      <c r="E45" s="1"/>
      <c r="Y4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6" spans="5:25" ht="13.5" customHeight="1" x14ac:dyDescent="0.25">
      <c r="E46" s="1"/>
      <c r="Y4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7" spans="5:25" ht="13.5" customHeight="1" x14ac:dyDescent="0.25">
      <c r="E47" s="1"/>
      <c r="Y4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8" spans="5:25" ht="13.5" customHeight="1" x14ac:dyDescent="0.25">
      <c r="E48" s="1"/>
      <c r="Y4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9" spans="5:25" ht="13.5" customHeight="1" x14ac:dyDescent="0.25">
      <c r="E49" s="1"/>
      <c r="Y4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0" spans="5:25" ht="13.5" customHeight="1" x14ac:dyDescent="0.25">
      <c r="E50" s="1"/>
      <c r="Y5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1" spans="5:25" ht="13.5" customHeight="1" x14ac:dyDescent="0.25">
      <c r="E51" s="1"/>
      <c r="Y5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2" spans="5:25" ht="13.5" customHeight="1" x14ac:dyDescent="0.25">
      <c r="E52" s="1"/>
      <c r="Y5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3" spans="5:25" ht="13.5" customHeight="1" x14ac:dyDescent="0.25">
      <c r="E53" s="1"/>
      <c r="Y5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4" spans="5:25" ht="13.5" customHeight="1" x14ac:dyDescent="0.25">
      <c r="E54" s="1"/>
      <c r="Y5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5" spans="5:25" ht="13.5" customHeight="1" x14ac:dyDescent="0.25">
      <c r="E55" s="1"/>
      <c r="Y5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6" spans="5:25" ht="13.5" customHeight="1" x14ac:dyDescent="0.25">
      <c r="E56" s="1"/>
      <c r="Y5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7" spans="5:25" ht="13.5" customHeight="1" x14ac:dyDescent="0.25">
      <c r="E57" s="1"/>
      <c r="Y5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8" spans="5:25" ht="13.5" customHeight="1" x14ac:dyDescent="0.25">
      <c r="E58" s="1"/>
      <c r="Y5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9" spans="5:25" ht="13.5" customHeight="1" x14ac:dyDescent="0.25">
      <c r="E59"/>
      <c r="Y5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0" spans="5:25" ht="13.5" customHeight="1" x14ac:dyDescent="0.25">
      <c r="E60"/>
      <c r="Y6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1" spans="5:25" ht="13.5" customHeight="1" x14ac:dyDescent="0.25">
      <c r="E61"/>
      <c r="Y6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2" spans="5:25" ht="13.5" customHeight="1" x14ac:dyDescent="0.25">
      <c r="E62"/>
      <c r="Y6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3" spans="5:25" ht="13.5" customHeight="1" x14ac:dyDescent="0.25">
      <c r="E63"/>
      <c r="Y6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4" spans="5:25" ht="13.5" customHeight="1" x14ac:dyDescent="0.25">
      <c r="E64"/>
      <c r="Y6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5" spans="5:25" ht="14.25" customHeight="1" x14ac:dyDescent="0.25">
      <c r="E65"/>
      <c r="Y6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6" spans="5:25" ht="14.25" customHeight="1" x14ac:dyDescent="0.25">
      <c r="E66"/>
      <c r="Y6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7" spans="5:25" ht="14.25" customHeight="1" x14ac:dyDescent="0.25">
      <c r="E67"/>
      <c r="Y6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8" spans="5:25" ht="14.25" customHeight="1" x14ac:dyDescent="0.25">
      <c r="E68"/>
      <c r="Y6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9" spans="5:25" ht="14.25" customHeight="1" x14ac:dyDescent="0.25">
      <c r="E69"/>
      <c r="Y6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0" spans="5:25" ht="14.25" customHeight="1" x14ac:dyDescent="0.25">
      <c r="E70"/>
      <c r="Y7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1" spans="5:25" x14ac:dyDescent="0.25">
      <c r="E71"/>
      <c r="Y7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2" spans="5:25" x14ac:dyDescent="0.25">
      <c r="E72"/>
      <c r="Y7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sheetData>
  <dataValidations count="1">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B7" sqref="B7"/>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5" t="s">
        <v>12</v>
      </c>
      <c r="E1" s="16" t="s">
        <v>42</v>
      </c>
      <c r="F1" s="16" t="s">
        <v>84</v>
      </c>
      <c r="G1" t="s">
        <v>89</v>
      </c>
      <c r="H1" s="29" t="s">
        <v>72</v>
      </c>
      <c r="I1" s="17" t="s">
        <v>66</v>
      </c>
      <c r="J1" s="16" t="s">
        <v>30</v>
      </c>
      <c r="K1" s="18"/>
      <c r="L1" s="17" t="s">
        <v>67</v>
      </c>
      <c r="M1" s="19" t="s">
        <v>30</v>
      </c>
      <c r="N1" s="19"/>
      <c r="O1" s="17"/>
      <c r="P1" s="16"/>
      <c r="Q1" s="18"/>
      <c r="R1" s="17"/>
      <c r="S1" s="16"/>
      <c r="T1" s="18"/>
      <c r="U1" s="17"/>
      <c r="V1" s="16"/>
      <c r="W1" s="18"/>
      <c r="X1" s="16"/>
      <c r="Y1" s="16"/>
      <c r="Z1" s="20"/>
    </row>
    <row r="2" spans="1:26" ht="15" customHeight="1" x14ac:dyDescent="0.25">
      <c r="A2" t="s">
        <v>25</v>
      </c>
      <c r="B2" s="2">
        <v>35</v>
      </c>
      <c r="D2" s="21" t="s">
        <v>13</v>
      </c>
      <c r="E2" s="22" t="s">
        <v>43</v>
      </c>
      <c r="F2" s="22" t="s">
        <v>85</v>
      </c>
      <c r="G2" t="s">
        <v>90</v>
      </c>
      <c r="H2" s="29" t="s">
        <v>73</v>
      </c>
      <c r="I2" s="23" t="s">
        <v>62</v>
      </c>
      <c r="J2" s="22"/>
      <c r="K2" s="24" t="s">
        <v>29</v>
      </c>
      <c r="L2" s="23"/>
      <c r="M2" s="22"/>
      <c r="N2" s="22"/>
      <c r="O2" s="23"/>
      <c r="P2" s="22"/>
      <c r="Q2" s="24"/>
      <c r="R2" s="23"/>
      <c r="S2" s="22"/>
      <c r="T2" s="24"/>
      <c r="U2" s="23"/>
      <c r="V2" s="22"/>
      <c r="W2" s="24"/>
      <c r="X2" s="22"/>
      <c r="Y2" s="22"/>
      <c r="Z2" s="25"/>
    </row>
    <row r="3" spans="1:26" ht="15" customHeight="1" x14ac:dyDescent="0.25">
      <c r="A3" t="s">
        <v>77</v>
      </c>
      <c r="B3" s="31">
        <v>2</v>
      </c>
      <c r="D3" s="15" t="s">
        <v>20</v>
      </c>
      <c r="E3" s="16" t="s">
        <v>44</v>
      </c>
      <c r="F3" s="16" t="s">
        <v>86</v>
      </c>
      <c r="G3" t="s">
        <v>91</v>
      </c>
      <c r="H3" s="29" t="s">
        <v>74</v>
      </c>
      <c r="I3" s="17" t="s">
        <v>63</v>
      </c>
      <c r="J3" s="16"/>
      <c r="K3" s="18" t="s">
        <v>29</v>
      </c>
      <c r="L3" s="17"/>
      <c r="M3" s="16"/>
      <c r="N3" s="16"/>
      <c r="O3" s="17"/>
      <c r="P3" s="16"/>
      <c r="Q3" s="18"/>
      <c r="R3" s="17"/>
      <c r="S3" s="16"/>
      <c r="T3" s="18"/>
      <c r="U3" s="17"/>
      <c r="V3" s="16"/>
      <c r="W3" s="18"/>
      <c r="X3" s="16"/>
      <c r="Y3" s="16"/>
      <c r="Z3" s="20"/>
    </row>
    <row r="4" spans="1:26" ht="15" customHeight="1" x14ac:dyDescent="0.25">
      <c r="A4" t="s">
        <v>1</v>
      </c>
      <c r="B4" s="2">
        <v>28</v>
      </c>
      <c r="D4" s="21" t="s">
        <v>12</v>
      </c>
      <c r="E4" s="22" t="s">
        <v>70</v>
      </c>
      <c r="F4" s="22" t="s">
        <v>87</v>
      </c>
      <c r="G4" t="s">
        <v>93</v>
      </c>
      <c r="H4" s="29" t="s">
        <v>75</v>
      </c>
      <c r="I4" s="23" t="s">
        <v>64</v>
      </c>
      <c r="J4" s="22"/>
      <c r="K4" s="24" t="s">
        <v>29</v>
      </c>
      <c r="L4" s="23" t="s">
        <v>65</v>
      </c>
      <c r="M4" s="22"/>
      <c r="N4" s="22"/>
      <c r="O4" s="23"/>
      <c r="P4" s="22"/>
      <c r="Q4" s="24"/>
      <c r="R4" s="23"/>
      <c r="S4" s="22"/>
      <c r="T4" s="24"/>
      <c r="U4" s="23"/>
      <c r="V4" s="22"/>
      <c r="W4" s="24"/>
      <c r="X4" s="22"/>
      <c r="Y4" s="22"/>
      <c r="Z4" s="25"/>
    </row>
    <row r="5" spans="1:26" ht="15" customHeight="1" x14ac:dyDescent="0.25">
      <c r="A5" t="s">
        <v>2</v>
      </c>
      <c r="B5" s="2">
        <v>16.5</v>
      </c>
      <c r="D5" s="15" t="s">
        <v>12</v>
      </c>
      <c r="E5" s="16" t="s">
        <v>68</v>
      </c>
      <c r="F5" s="16" t="s">
        <v>88</v>
      </c>
      <c r="G5" t="s">
        <v>92</v>
      </c>
      <c r="H5" s="29" t="s">
        <v>76</v>
      </c>
      <c r="I5" s="17" t="s">
        <v>69</v>
      </c>
      <c r="J5" s="16"/>
      <c r="K5" s="18"/>
      <c r="L5" s="17"/>
      <c r="M5" s="16"/>
      <c r="N5" s="16"/>
      <c r="O5" s="17"/>
      <c r="P5" s="16"/>
      <c r="Q5" s="18"/>
      <c r="R5" s="17"/>
      <c r="S5" s="16"/>
      <c r="T5" s="18"/>
      <c r="U5" s="17"/>
      <c r="V5" s="16"/>
      <c r="W5" s="18"/>
      <c r="X5" s="16"/>
      <c r="Y5" s="16"/>
      <c r="Z5" s="20"/>
    </row>
    <row r="6" spans="1:26" ht="15" customHeight="1" x14ac:dyDescent="0.25">
      <c r="A6" t="s">
        <v>3</v>
      </c>
      <c r="B6" s="2">
        <v>25</v>
      </c>
    </row>
    <row r="7" spans="1:26" ht="15" customHeight="1" x14ac:dyDescent="0.25">
      <c r="A7" t="s">
        <v>94</v>
      </c>
      <c r="B7" t="s">
        <v>106</v>
      </c>
    </row>
    <row r="8" spans="1:26" ht="15" customHeight="1" x14ac:dyDescent="0.25">
      <c r="A8" t="s">
        <v>4</v>
      </c>
      <c r="B8" t="s">
        <v>45</v>
      </c>
    </row>
    <row r="9" spans="1:26" ht="15" customHeight="1" x14ac:dyDescent="0.25">
      <c r="A9" t="s">
        <v>5</v>
      </c>
      <c r="B9" t="s">
        <v>46</v>
      </c>
    </row>
    <row r="10" spans="1:26" ht="15" customHeight="1" x14ac:dyDescent="0.25">
      <c r="A10" t="s">
        <v>15</v>
      </c>
      <c r="B10" t="s">
        <v>47</v>
      </c>
    </row>
    <row r="11" spans="1:26" ht="15" customHeight="1" x14ac:dyDescent="0.25">
      <c r="A11" t="s">
        <v>31</v>
      </c>
      <c r="B11" t="s">
        <v>48</v>
      </c>
    </row>
    <row r="12" spans="1:26" ht="15" customHeight="1" x14ac:dyDescent="0.25">
      <c r="A12" t="s">
        <v>32</v>
      </c>
      <c r="B12">
        <v>123456789</v>
      </c>
    </row>
    <row r="13" spans="1:26" ht="15" customHeight="1" x14ac:dyDescent="0.25">
      <c r="A13" t="s">
        <v>33</v>
      </c>
      <c r="B13" t="s">
        <v>49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52</vt:i4>
      </vt:variant>
    </vt:vector>
  </HeadingPairs>
  <TitlesOfParts>
    <vt:vector size="56" baseType="lpstr">
      <vt:lpstr>Brief</vt:lpstr>
      <vt:lpstr>Parameter</vt:lpstr>
      <vt:lpstr>Liste</vt:lpstr>
      <vt:lpstr>Beispiel</vt:lpstr>
      <vt:lpstr>adresse</vt:lpstr>
      <vt:lpstr>anrede</vt:lpstr>
      <vt:lpstr>anzEinschreib</vt:lpstr>
      <vt:lpstr>anzKinder</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2020-10-24T09:31:37Z</cp:lastPrinted>
  <dcterms:created xsi:type="dcterms:W3CDTF">2018-11-03T22:12:52Z</dcterms:created>
  <dcterms:modified xsi:type="dcterms:W3CDTF">2020-10-24T10:15:05Z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