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DieseArbeitsmappe" defaultThemeVersion="166925"/>
  <mc:AlternateContent xmlns:mc="http://schemas.openxmlformats.org/markup-compatibility/2006">
    <mc:Choice Requires="x15">
      <x15ac:absPath xmlns:x15ac="http://schemas.microsoft.com/office/spreadsheetml/2010/11/ac" url="C:\dev\PfadfinderSchreiben\"/>
    </mc:Choice>
  </mc:AlternateContent>
  <xr:revisionPtr revIDLastSave="0" documentId="13_ncr:1_{1A30F984-BD99-4F6F-B027-492A2F7A0289}" xr6:coauthVersionLast="47" xr6:coauthVersionMax="47" xr10:uidLastSave="{00000000-0000-0000-0000-000000000000}"/>
  <bookViews>
    <workbookView xWindow="-120" yWindow="-120" windowWidth="29040" windowHeight="17790" tabRatio="398" xr2:uid="{00000000-000D-0000-FFFF-FFFF00000000}"/>
  </bookViews>
  <sheets>
    <sheet name="Brief" sheetId="1" r:id="rId1"/>
    <sheet name="Parameter" sheetId="2" r:id="rId2"/>
    <sheet name="Liste" sheetId="3" r:id="rId3"/>
    <sheet name="Beispiel" sheetId="4" state="hidden" r:id="rId4"/>
  </sheets>
  <functionGroups builtInGroupCount="19"/>
  <definedNames>
    <definedName name="adresse">Parameter!$B$11</definedName>
    <definedName name="anrede">Brief!$E$4</definedName>
    <definedName name="anzEinschreib">Brief!$F$15</definedName>
    <definedName name="AnzEinschrFormel">Liste!$AG$1</definedName>
    <definedName name="anzKinder">Brief!$F$13</definedName>
    <definedName name="AnzKinderFormel">Liste!$AE$1</definedName>
    <definedName name="AnzMitgFormel">Liste!$AF$1</definedName>
    <definedName name="anzMitgl">Brief!$F$14</definedName>
    <definedName name="AufnahmeJahr">Liste!$AD$6</definedName>
    <definedName name="bank">Parameter!$B$10</definedName>
    <definedName name="bodymsg">Brief!$H$3</definedName>
    <definedName name="ccrecipient">Brief!$I$2</definedName>
    <definedName name="CheckSumme">Liste!$AD$1</definedName>
    <definedName name="datenträger">Brief!$E$10</definedName>
    <definedName name="_xlnm.Print_Area" localSheetId="0">Brief!$A$1:$D$32</definedName>
    <definedName name="einschreibgeb">Parameter!$B$6</definedName>
    <definedName name="einschreibsumme">Brief!$F$19</definedName>
    <definedName name="Erinnerung">Brief!$G$8</definedName>
    <definedName name="Erinnerung2">Brief!$H$8</definedName>
    <definedName name="ermässigt">Liste!$AD$8:$AF$8</definedName>
    <definedName name="exportfile">Liste!$AD$3</definedName>
    <definedName name="FunktionenErwMitglieder">Liste!$AD$12:$AD$17</definedName>
    <definedName name="gebührgesamt">Brief!$F$20</definedName>
    <definedName name="gitOrdner">Liste!$AD$22</definedName>
    <definedName name="GruppierenNach">Liste!$AD$19</definedName>
    <definedName name="konto">Parameter!$B$8</definedName>
    <definedName name="kopfname">Parameter!$B$7</definedName>
    <definedName name="lautend_auf">Parameter!$B$9</definedName>
    <definedName name="mailcmd">Brief!$H$2</definedName>
    <definedName name="mailpwd">Brief!$I$1</definedName>
    <definedName name="mailuser">Brief!$H$1</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Liste!$AD$10</definedName>
    <definedName name="pfadis">Brief!$F$11</definedName>
    <definedName name="pfadisFormel">Liste!$AH$1</definedName>
    <definedName name="QRCode">Brief!$A$27</definedName>
    <definedName name="recipient">Brief!$E$3</definedName>
    <definedName name="referenz">Brief!$E$5</definedName>
    <definedName name="reg">Parameter!$B$4</definedName>
    <definedName name="regsumme">Brief!$F$18</definedName>
    <definedName name="regweitere">Parameter!$B$5</definedName>
    <definedName name="subject">Brief!$H$4</definedName>
    <definedName name="teiler">Brief!$F$16</definedName>
    <definedName name="testkonto">Brief!$J$1</definedName>
    <definedName name="testmail">Brief!$G$7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Brief!$E$21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2" i="3" l="1"/>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A2" i="3"/>
  <c r="AA3" i="3"/>
  <c r="AA4" i="3"/>
  <c r="AA5"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Z2" i="3"/>
  <c r="Z3" i="3"/>
  <c r="Z4" i="3"/>
  <c r="Z5"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Y2" i="3"/>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X2"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E22" i="1"/>
  <c r="E3" i="1"/>
  <c r="A10" i="1" l="1"/>
  <c r="E23" i="1"/>
  <c r="F11" i="1" l="1"/>
  <c r="I3" i="1" s="1"/>
  <c r="A19" i="1"/>
  <c r="E4" i="1"/>
  <c r="A32" i="1"/>
  <c r="A20" i="1"/>
  <c r="A13" i="1"/>
  <c r="AD6" i="3"/>
  <c r="H4" i="1" s="1"/>
  <c r="E5" i="1" l="1"/>
  <c r="F14" i="1"/>
  <c r="F15" i="1"/>
  <c r="F12" i="1"/>
  <c r="A15" i="1"/>
  <c r="A1" i="1" l="1"/>
  <c r="A6" i="1" l="1"/>
  <c r="A2" i="1" l="1"/>
  <c r="A24" i="1"/>
  <c r="A8" i="1" l="1"/>
  <c r="F16" i="1"/>
  <c r="A12" i="1" l="1"/>
  <c r="F13" i="1" l="1"/>
  <c r="F17" i="1" s="1"/>
  <c r="A14" i="1"/>
  <c r="A21" i="1"/>
  <c r="A3" i="1"/>
  <c r="J3" i="1" l="1"/>
  <c r="H3" i="1" s="1"/>
  <c r="H2" i="1" s="1"/>
  <c r="AD10" i="3" l="1"/>
  <c r="D32" i="1"/>
  <c r="D31" i="1"/>
  <c r="A31" i="1"/>
  <c r="A30" i="1"/>
  <c r="D30" i="1"/>
  <c r="A7" i="1" l="1"/>
  <c r="A11" i="1"/>
  <c r="F19" i="1" l="1"/>
  <c r="F18" i="1" l="1"/>
  <c r="A17" i="1" s="1"/>
  <c r="E21" i="1" l="1"/>
  <c r="F20" i="1"/>
  <c r="E10" i="1" l="1"/>
  <c r="A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versendender Mailuser, leer lassen für interaktive Erstellung des Mails mit Outlook</t>
        </r>
        <r>
          <rPr>
            <sz val="9"/>
            <color indexed="81"/>
            <rFont val="Segoe UI"/>
            <family val="2"/>
          </rPr>
          <t xml:space="preserve">
</t>
        </r>
      </text>
    </comment>
    <comment ref="I1" authorId="0" shapeId="0" xr:uid="{ACEFFE1F-9860-4F4E-87B8-50C0EAF0D9D2}">
      <text>
        <r>
          <rPr>
            <b/>
            <sz val="9"/>
            <color indexed="81"/>
            <rFont val="Segoe UI"/>
            <family val="2"/>
          </rPr>
          <t>mailpasswort</t>
        </r>
        <r>
          <rPr>
            <sz val="9"/>
            <color indexed="81"/>
            <rFont val="Segoe UI"/>
            <family val="2"/>
          </rPr>
          <t xml:space="preserve">
</t>
        </r>
      </text>
    </comment>
    <comment ref="J1" authorId="0" shapeId="0" xr:uid="{B1D39C96-AE4E-4D65-ADDA-2CE85C53A707}">
      <text>
        <r>
          <rPr>
            <b/>
            <sz val="9"/>
            <color indexed="81"/>
            <rFont val="Segoe UI"/>
            <family val="2"/>
          </rPr>
          <t>testmailuser</t>
        </r>
        <r>
          <rPr>
            <sz val="9"/>
            <color indexed="81"/>
            <rFont val="Segoe UI"/>
            <family val="2"/>
          </rPr>
          <t xml:space="preserve">
</t>
        </r>
      </text>
    </comment>
    <comment ref="I2" authorId="0" shapeId="0" xr:uid="{EC427341-0E86-48D4-9615-F87A19767BF1}">
      <text>
        <r>
          <rPr>
            <b/>
            <sz val="9"/>
            <color indexed="81"/>
            <rFont val="Segoe UI"/>
            <family val="2"/>
          </rPr>
          <t>CC User für Mails</t>
        </r>
      </text>
    </comment>
    <comment ref="J2" authorId="0" shapeId="0" xr:uid="{B1F6AF5A-F83F-4902-9083-95E32C02A271}">
      <text>
        <r>
          <rPr>
            <b/>
            <sz val="9"/>
            <color indexed="81"/>
            <rFont val="Segoe UI"/>
            <family val="2"/>
          </rPr>
          <t>Account zum versenden in Outlook</t>
        </r>
      </text>
    </comment>
    <comment ref="H8" authorId="0" shapeId="0" xr:uid="{492459DC-D78B-455D-98E1-08E4B5899EB3}">
      <text>
        <r>
          <rPr>
            <b/>
            <sz val="9"/>
            <color indexed="81"/>
            <rFont val="Segoe UI"/>
            <family val="2"/>
          </rPr>
          <t>2. Erinnerung, ganz dringlich!</t>
        </r>
      </text>
    </comment>
    <comment ref="E10" authorId="0" shapeId="0" xr:uid="{00000000-0006-0000-0000-000001000000}">
      <text>
        <r>
          <rPr>
            <b/>
            <sz val="9"/>
            <color indexed="81"/>
            <rFont val="Segoe UI"/>
            <family val="2"/>
          </rPr>
          <t>Keine Umlaute in QR-Code für Banken erlaubt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G1" authorId="0" shapeId="0" xr:uid="{BDC827C8-C054-4F28-BC77-D9B1A612AAC8}">
      <text>
        <r>
          <rPr>
            <b/>
            <sz val="9"/>
            <color indexed="81"/>
            <rFont val="Segoe UI"/>
            <family val="2"/>
          </rPr>
          <t>J: Kind ist heuer erstmalig angemeldet, daher Einschreibgebühr</t>
        </r>
      </text>
    </comment>
    <comment ref="H1" authorId="0" shapeId="0" xr:uid="{4567D621-34EE-4CE1-9385-834A75602F2A}">
      <text>
        <r>
          <rPr>
            <b/>
            <sz val="9"/>
            <color indexed="81"/>
            <rFont val="Segoe UI"/>
            <family val="2"/>
          </rPr>
          <t>E: Ehrenamtliche zahlen weder Gruppenbeitrag noch Verbandsbeitrag
M: Erwachsene Mitglieder zahlen keinen Gruppenbeitrag</t>
        </r>
        <r>
          <rPr>
            <sz val="9"/>
            <color indexed="81"/>
            <rFont val="Segoe UI"/>
            <family val="2"/>
          </rPr>
          <t xml:space="preserve">
</t>
        </r>
      </text>
    </comment>
  </commentList>
</comments>
</file>

<file path=xl/sharedStrings.xml><?xml version="1.0" encoding="utf-8"?>
<sst xmlns="http://schemas.openxmlformats.org/spreadsheetml/2006/main" count="189" uniqueCount="127">
  <si>
    <t>Mitgliedsbeitrag:</t>
  </si>
  <si>
    <t>Registrierung:</t>
  </si>
  <si>
    <t>Registrierung weitere K.:</t>
  </si>
  <si>
    <t>Einschreibgebühr:</t>
  </si>
  <si>
    <t>Pfadfinderkonto:</t>
  </si>
  <si>
    <t>lautend auf:</t>
  </si>
  <si>
    <t>Name</t>
  </si>
  <si>
    <t>Einschreib1</t>
  </si>
  <si>
    <t>Einschreib2</t>
  </si>
  <si>
    <t>Einschreib3</t>
  </si>
  <si>
    <t>Einschreib4</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</si>
  <si>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</si>
  <si>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</si>
  <si>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</si>
  <si>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</si>
  <si>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</si>
  <si>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</si>
  <si>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</si>
  <si>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</si>
  <si>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</si>
  <si>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</si>
  <si>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</si>
  <si>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</si>
  <si>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</si>
  <si>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</si>
  <si>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</si>
  <si>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</si>
  <si>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</si>
  <si>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</si>
  <si>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</si>
  <si>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</si>
  <si>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</si>
  <si>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</si>
  <si>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</si>
  <si>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</si>
  <si>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</si>
  <si>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</si>
  <si>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</si>
  <si>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</si>
  <si>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</si>
  <si>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</si>
  <si>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</si>
  <si>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</si>
  <si>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</si>
  <si>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</si>
  <si>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</si>
  <si>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</si>
  <si>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</si>
  <si>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</si>
  <si>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</si>
  <si>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ER</t>
  </si>
  <si>
    <t>ERO</t>
  </si>
  <si>
    <t>KASS</t>
  </si>
  <si>
    <t>SCHR</t>
  </si>
  <si>
    <t>Neuregistrierungen ab:</t>
  </si>
  <si>
    <t>Nicht importieren wenn "Ermäßigt" auf:</t>
  </si>
  <si>
    <t>P</t>
  </si>
  <si>
    <t>PWA</t>
  </si>
  <si>
    <t>Datenträger für QR-Code:</t>
  </si>
  <si>
    <t>Adresse</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</si>
  <si>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</si>
  <si>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</si>
  <si>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</si>
  <si>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</si>
  <si>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</si>
  <si>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</si>
  <si>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</si>
  <si>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</si>
  <si>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</si>
  <si>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</si>
  <si>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</si>
  <si>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</si>
  <si>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</si>
  <si>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</si>
  <si>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</si>
  <si>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</si>
  <si>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Strasse/Plz</t>
  </si>
  <si>
    <t>Nachregistrierung:</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</si>
  <si>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</si>
  <si>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</si>
  <si>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</si>
  <si>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</si>
  <si>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</si>
  <si>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</si>
  <si>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</si>
  <si>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</si>
  <si>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</si>
  <si>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</si>
  <si>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</si>
  <si>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</si>
  <si>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Gruppenname:</t>
  </si>
  <si>
    <t>Testmail:</t>
  </si>
  <si>
    <t>pfadis:</t>
  </si>
  <si>
    <t>Anz. Kinder:</t>
  </si>
  <si>
    <t>gedeckelt:</t>
  </si>
  <si>
    <t>Anz. Mitgl.:</t>
  </si>
  <si>
    <t>Anz. Einschr</t>
  </si>
  <si>
    <t>MBeitrSum:</t>
  </si>
  <si>
    <t>RegBeitrSum:</t>
  </si>
  <si>
    <t>EinschrSum:</t>
  </si>
  <si>
    <t>Gesamt:</t>
  </si>
  <si>
    <t>TeilerNachreg:</t>
  </si>
  <si>
    <t>Gruppe Musterhausen</t>
  </si>
  <si>
    <t>Erinnerungsschreiben:</t>
  </si>
  <si>
    <t>Falls die Knöpfe nicht funktionieren, unter Datei/Informationen, Inhalt (Makros) aktivieren…</t>
  </si>
  <si>
    <t>Zahlen mit Code (in der e-Banking App scannen):</t>
  </si>
  <si>
    <t>SCHR, REG</t>
  </si>
  <si>
    <t>Gesamt</t>
  </si>
  <si>
    <t>ACHTUNG, undbedingt zurücksetzen bei Hauptregistrierung !!!</t>
  </si>
  <si>
    <t>Leiter</t>
  </si>
  <si>
    <t>=([Vorname1]&lt;&gt;"")*([Ermäßigt1]&lt;&gt;"E")*reg+([Vorname2]&lt;&gt;"")*([Ermäßigt2]&lt;&gt;"E")*regweitere+([Vorname3]&lt;&gt;"")*([Ermäßigt3]&lt;&gt;"E")*regweitere+([Vorname4]&lt;&gt;"")*([Ermäßigt4]&lt;&gt;"E")*regweitere+([Vorname5]&lt;&gt;"")*([Ermäßigt5]&lt;&gt;"E")*regweitere+([Vorname6]&lt;&gt;"")*([Ermäßigt6]&lt;&gt;"E")*regweitere+(([Vorname1]&lt;&gt;"")*([Ermäßigt1]="")*mitglbeitrag+([Vorname2]&lt;&gt;"")*([Ermäßigt2]="")*mitglbeitragweitere)/teiler+([Einschreib1]&lt;&gt;"")*([Ermäßigt1]="")*einschreibgeb+([Einschreib2]&lt;&gt;"")*([Ermäßigt2]="")*einschreibgeb+([Einschreib3]&lt;&gt;"")*([Ermäßigt3]="")*einschreibgeb+([Einschreib4]&lt;&gt;"")*([Ermäßigt4]="")*einschreibgeb+([Einschreib5]&lt;&gt;"")*([Ermäßigt5]="")*einschreibgeb+([Einschreib6]&lt;&gt;"")*([Ermäßigt6]="")*einschreibgeb</t>
  </si>
  <si>
    <t>AnzKinder</t>
  </si>
  <si>
    <t>AnzMitg</t>
  </si>
  <si>
    <t>AnzEinschr</t>
  </si>
  <si>
    <t>=([Vorname1]&lt;&gt;"")*([Ermäßigt1]="")+([Vorname2]&lt;&gt;"")*([Ermäßigt2]="")+([Vorname3]&lt;&gt;"")*([Ermäßigt3]="")+([Vorname4]&lt;&gt;"")*([Ermäßigt4]="")+([Vorname5]&lt;&gt;"")*([Ermäßigt5]="")+([Vorname6]&lt;&gt;"")*([Ermäßigt6]="")</t>
  </si>
  <si>
    <t>=([Einschreib1]&lt;&gt;"")*([Ermäßigt1]="")+([Einschreib2]&lt;&gt;"")*([Ermäßigt2]="")+([Einschreib3]&lt;&gt;"")*([Ermäßigt3]="")+([Einschreib4]&lt;&gt;"")*([Ermäßigt4]="")+([Einschreib5]&lt;&gt;"")*([Ermäßigt5]="")+([Einschreib6]&lt;&gt;"")*([Ermäßigt6]="")</t>
  </si>
  <si>
    <t>Leiter werden hartcodiert (like "AS*" bzw like "SF*") erfasst</t>
  </si>
  <si>
    <t>=([Vorname1]&lt;&gt;"")*([Ermäßigt1]&lt;&gt;"E")+([Vorname2]&lt;&gt;"")*([Ermäßigt2]&lt;&gt;"E")+([Vorname3]&lt;&gt;"")*([Ermäßigt3]&lt;&gt;"E")+([Vorname4]&lt;&gt;"")*([Ermäßigt4]&lt;&gt;"E")+([Vorname5]&lt;&gt;"")*([Ermäßigt5]&lt;&gt;"E")+([Vorname6]&lt;&gt;"")*([Ermäßigt6]&lt;&gt;"E")</t>
  </si>
  <si>
    <t>pfadis</t>
  </si>
  <si>
    <t>=WENN(([Vorname1]&lt;&gt;"")*([Ermäßigt1]&lt;&gt;"E");[Vorname1];"")&amp;WENN(([Vorname2]&lt;&gt;"")*([Ermäßigt2]&lt;&gt;"E");"+"&amp;[Vorname2];"")&amp;WENN(([Vorname3]&lt;&gt;"")*([Ermäßigt3]&lt;&gt;"E");"+"&amp;[Vorname3];"")&amp;WENN(([Vorname4]&lt;&gt;"")*([Ermäßigt4]&lt;&gt;"E");"+"&amp;[Vorname4];"")&amp;WENN(([Vorname5]&lt;&gt;"")*([Ermäßigt5]&lt;&gt;"E");"+"&amp;[Vorname5];"")&amp;WENN(([Vorname6]&lt;&gt;"")*([Ermäßigt6]&lt;&gt;"E");"+"&amp;[Vorname6];"")</t>
  </si>
  <si>
    <t>Funktionen ehrenamtliche Mitglieder (kein Beitrag):</t>
  </si>
  <si>
    <t>Mitglieds- und Verbandsbeiträge werden in der Parameterdatei verwaltet:</t>
  </si>
  <si>
    <t>GAB-Person-Export_2024-11-18.xls</t>
  </si>
  <si>
    <t>Ja</t>
  </si>
  <si>
    <t>testempfängerkonto@gmail.com</t>
  </si>
  <si>
    <t>CC Empfängeradresse</t>
  </si>
  <si>
    <t>(Familien)gruppierung beim Export nach: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</si>
</sst>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rgb="FF000000"/>
      <name val="Calibri"/>
      <family val="2"/>
    </font>
    <font>
      <b/>
      <sz val="11"/>
      <color theme="1"/>
      <name val="Calibri"/>
      <family val="2"/>
      <scheme val="minor"/>
    </font>
    <font>
      <u/>
      <sz val="11"/>
      <color theme="10"/>
      <name val="Calibri"/>
      <family val="2"/>
      <scheme val="minor"/>
    </font>
    <font>
      <b/>
      <i/>
      <sz val="16"/>
      <color theme="1"/>
      <name val="Arial"/>
      <family val="2"/>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9"/>
      <color indexed="81"/>
      <name val="Segoe UI"/>
      <family val="2"/>
    </font>
    <font>
      <sz val="8"/>
      <color rgb="FF000000"/>
      <name val="Arial"/>
      <family val="2"/>
    </font>
    <font>
      <u/>
      <sz val="8"/>
      <color theme="10"/>
      <name val="Arial"/>
      <family val="2"/>
    </font>
    <font>
      <sz val="8"/>
      <color rgb="FFFF0000"/>
      <name val="Calibri"/>
      <family val="2"/>
      <scheme val="minor"/>
    </font>
    <font>
      <sz val="1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cellStyleXfs>
  <cellXfs count="41">
    <xf numFmtId="0" fontId="0" fillId="0" borderId="0" xfId="0"/>
    <xf numFmtId="0" fontId="0" fillId="0" borderId="0" xfId="0" applyAlignment="1">
      <alignment wrapText="1"/>
    </xf>
    <xf numFmtId="2" fontId="0" fillId="0" borderId="0" xfId="0" applyNumberFormat="1"/>
    <xf numFmtId="0" fontId="0" fillId="0" borderId="0" xfId="0" quotePrefix="1"/>
    <xf numFmtId="0" fontId="4" fillId="0" borderId="0" xfId="0" applyFont="1" applyAlignment="1">
      <alignment vertical="center"/>
    </xf>
    <xf numFmtId="0" fontId="2" fillId="0" borderId="0" xfId="0" applyFont="1"/>
    <xf numFmtId="0" fontId="0" fillId="2" borderId="0" xfId="0" applyFill="1"/>
    <xf numFmtId="0" fontId="5" fillId="0" borderId="0" xfId="0" applyFont="1"/>
    <xf numFmtId="0" fontId="0" fillId="3" borderId="4" xfId="0" applyFill="1" applyBorder="1"/>
    <xf numFmtId="0" fontId="0" fillId="3"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7" xfId="0" applyFill="1" applyBorder="1"/>
    <xf numFmtId="0" fontId="0" fillId="0" borderId="4" xfId="0" applyBorder="1"/>
    <xf numFmtId="0" fontId="0" fillId="0" borderId="5" xfId="0" applyBorder="1"/>
    <xf numFmtId="0" fontId="0" fillId="0" borderId="8" xfId="0" applyBorder="1"/>
    <xf numFmtId="0" fontId="0" fillId="0" borderId="9" xfId="0" applyBorder="1"/>
    <xf numFmtId="0" fontId="0" fillId="0" borderId="7" xfId="0" applyBorder="1"/>
    <xf numFmtId="0" fontId="6" fillId="0" borderId="0" xfId="0" applyFont="1"/>
    <xf numFmtId="0" fontId="0" fillId="4" borderId="0" xfId="0" applyFill="1"/>
    <xf numFmtId="0" fontId="0" fillId="0" borderId="0" xfId="0" applyAlignment="1">
      <alignment horizontal="left"/>
    </xf>
    <xf numFmtId="0" fontId="0" fillId="3" borderId="5" xfId="0" applyFill="1" applyBorder="1" applyAlignment="1">
      <alignment wrapText="1"/>
    </xf>
    <xf numFmtId="0" fontId="9" fillId="0" borderId="0" xfId="0" applyFont="1"/>
    <xf numFmtId="1" fontId="0" fillId="0" borderId="0" xfId="0" applyNumberFormat="1"/>
    <xf numFmtId="14" fontId="0" fillId="0" borderId="0" xfId="0" applyNumberFormat="1"/>
    <xf numFmtId="0" fontId="8" fillId="0" borderId="0" xfId="0" applyFont="1" applyAlignment="1">
      <alignment wrapText="1"/>
    </xf>
    <xf numFmtId="0" fontId="0" fillId="2" borderId="13" xfId="0" applyFill="1" applyBorder="1"/>
    <xf numFmtId="0" fontId="0" fillId="2" borderId="14" xfId="0" applyFill="1" applyBorder="1" applyAlignment="1">
      <alignment wrapText="1"/>
    </xf>
    <xf numFmtId="0" fontId="11" fillId="0" borderId="0" xfId="0" applyFont="1" applyAlignment="1">
      <alignment horizontal="left"/>
    </xf>
    <xf numFmtId="0" fontId="11" fillId="0" borderId="0" xfId="0" applyFont="1" applyAlignment="1">
      <alignment horizontal="right"/>
    </xf>
    <xf numFmtId="0" fontId="12" fillId="0" borderId="0" xfId="1" applyFont="1" applyAlignment="1">
      <alignment horizontal="left"/>
    </xf>
    <xf numFmtId="0" fontId="0" fillId="0" borderId="1" xfId="0" applyBorder="1"/>
    <xf numFmtId="0" fontId="0" fillId="0" borderId="2" xfId="0" applyBorder="1"/>
    <xf numFmtId="0" fontId="0" fillId="0" borderId="3" xfId="0" applyBorder="1"/>
    <xf numFmtId="0" fontId="14" fillId="0" borderId="0" xfId="0" applyFont="1"/>
    <xf numFmtId="0" fontId="0" fillId="0" borderId="0" xfId="0" applyAlignment="1">
      <alignment horizontal="left" vertical="top" wrapText="1"/>
    </xf>
    <xf numFmtId="0" fontId="8" fillId="0" borderId="10" xfId="0" quotePrefix="1" applyFont="1" applyBorder="1" applyAlignment="1">
      <alignment horizontal="left" vertical="top" wrapText="1"/>
    </xf>
    <xf numFmtId="0" fontId="8" fillId="0" borderId="11" xfId="0" quotePrefix="1" applyFont="1" applyBorder="1" applyAlignment="1">
      <alignment horizontal="left" vertical="top" wrapText="1"/>
    </xf>
    <xf numFmtId="0" fontId="8" fillId="0" borderId="12" xfId="0" quotePrefix="1" applyFont="1" applyBorder="1" applyAlignment="1">
      <alignment horizontal="left" vertical="top" wrapText="1"/>
    </xf>
    <xf numFmtId="0" fontId="13" fillId="0" borderId="0" xfId="0" applyFont="1" applyAlignment="1">
      <alignment horizontal="center" wrapText="1"/>
    </xf>
  </cellXfs>
  <cellStyles count="2">
    <cellStyle name="Link" xfId="1" builtinId="8"/>
    <cellStyle name="Standard" xfId="0" builtinId="0"/>
  </cellStyles>
  <dxfs count="38">
    <dxf>
      <alignment horizontal="general" vertical="bottom" textRotation="0" wrapText="0" indent="0" justifyLastLine="0" shrinkToFit="0" readingOrder="0"/>
    </dxf>
    <dxf>
      <numFmt numFmtId="0" formatCode="General"/>
    </dxf>
    <dxf>
      <alignment horizontal="general" vertical="bottom" textRotation="0" wrapText="0" indent="0" justifyLastLine="0" shrinkToFit="0" readingOrder="0"/>
    </dxf>
    <dxf>
      <numFmt numFmtId="0" formatCode="General"/>
    </dxf>
    <dxf>
      <alignment horizontal="general" vertical="bottom" textRotation="0" wrapText="0" indent="0" justifyLastLine="0" shrinkToFit="0" readingOrder="0"/>
    </dxf>
    <dxf>
      <numFmt numFmtId="0" formatCode="General"/>
    </dxf>
    <dxf>
      <alignment horizontal="general" vertical="bottom" textRotation="0" wrapText="0" indent="0" justifyLastLine="0" shrinkToFit="0" readingOrder="0"/>
    </dxf>
    <dxf>
      <numFmt numFmtId="0" formatCode="General"/>
    </dxf>
    <dxf>
      <numFmt numFmtId="0" formatCode="General"/>
      <alignment horizontal="general" vertical="bottom" textRotation="0" wrapText="0" indent="0" justifyLastLine="0" shrinkToFit="0" readingOrder="0"/>
    </dxf>
    <dxf>
      <numFmt numFmtId="0" formatCode="Genera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37"/>
      <tableStyleElement type="headerRow" dxfId="3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file:///C:\dev\PfadfinderSchreiben\excel_temp.p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752475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704850</xdr:colOff>
          <xdr:row>9</xdr:row>
          <xdr:rowOff>1695450</xdr:rowOff>
        </xdr:from>
        <xdr:to>
          <xdr:col>7</xdr:col>
          <xdr:colOff>2762250</xdr:colOff>
          <xdr:row>10</xdr:row>
          <xdr:rowOff>19050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Parameterdatei öffnen</a:t>
              </a:r>
            </a:p>
          </xdr:txBody>
        </xdr:sp>
        <xdr:clientData fPrintsWithSheet="0"/>
      </xdr:twoCellAnchor>
    </mc:Choice>
    <mc:Fallback/>
  </mc:AlternateContent>
  <xdr:twoCellAnchor>
    <xdr:from>
      <xdr:col>8</xdr:col>
      <xdr:colOff>168088</xdr:colOff>
      <xdr:row>3</xdr:row>
      <xdr:rowOff>89646</xdr:rowOff>
    </xdr:from>
    <xdr:to>
      <xdr:col>16</xdr:col>
      <xdr:colOff>56029</xdr:colOff>
      <xdr:row>26</xdr:row>
      <xdr:rowOff>89646</xdr:rowOff>
    </xdr:to>
    <xdr:sp macro="" textlink="">
      <xdr:nvSpPr>
        <xdr:cNvPr id="29" name="AusgabeMailer">
          <a:extLst>
            <a:ext uri="{FF2B5EF4-FFF2-40B4-BE49-F238E27FC236}">
              <a16:creationId xmlns:a16="http://schemas.microsoft.com/office/drawing/2014/main" id="{AB0BBC83-7918-EF2B-AD70-A8BF5C8713B5}"/>
            </a:ext>
          </a:extLst>
        </xdr:cNvPr>
        <xdr:cNvSpPr/>
      </xdr:nvSpPr>
      <xdr:spPr>
        <a:xfrm>
          <a:off x="14186647" y="2196352"/>
          <a:ext cx="5983941" cy="6331323"/>
        </a:xfrm>
        <a:prstGeom prst="rect">
          <a:avLst/>
        </a:prstGeom>
        <a:solidFill>
          <a:schemeClr val="bg1"/>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kern="1200">
            <a:solidFill>
              <a:sysClr val="windowText" lastClr="000000"/>
            </a:solidFill>
          </a:endParaRPr>
        </a:p>
        <a:p>
          <a:pPr algn="l"/>
          <a:endParaRPr lang="de-AT" sz="1100" kern="1200">
            <a:solidFill>
              <a:sysClr val="windowText" lastClr="000000"/>
            </a:solidFill>
          </a:endParaRPr>
        </a:p>
      </xdr:txBody>
    </xdr:sp>
    <xdr:clientData/>
  </xdr:twoCellAnchor>
  <xdr:twoCellAnchor>
    <xdr:from>
      <xdr:col>0</xdr:col>
      <xdr:colOff>0</xdr:colOff>
      <xdr:row>26</xdr:row>
      <xdr:rowOff>0</xdr:rowOff>
    </xdr:from>
    <xdr:to>
      <xdr:col>0</xdr:col>
      <xdr:colOff>1457325</xdr:colOff>
      <xdr:row>27</xdr:row>
      <xdr:rowOff>0</xdr:rowOff>
    </xdr:to>
    <xdr:pic>
      <xdr:nvPicPr>
        <xdr:cNvPr id="4" name="QRCODE_ZAHLUNG">
          <a:extLst>
            <a:ext uri="{FF2B5EF4-FFF2-40B4-BE49-F238E27FC236}">
              <a16:creationId xmlns:a16="http://schemas.microsoft.com/office/drawing/2014/main" id="{4FABE549-F734-6AF8-A2E4-ADA0A5223F88}"/>
            </a:ext>
          </a:extLst>
        </xdr:cNvPr>
        <xdr:cNvPicPr>
          <a:picLocks noChangeAspect="1"/>
        </xdr:cNvPicPr>
      </xdr:nvPicPr>
      <xdr:blipFill>
        <a:blip xmlns:r="http://schemas.openxmlformats.org/officeDocument/2006/relationships" r:link="rId1"/>
        <a:stretch>
          <a:fillRect/>
        </a:stretch>
      </xdr:blipFill>
      <xdr:spPr>
        <a:xfrm>
          <a:off x="0" y="8353425"/>
          <a:ext cx="14573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228600</xdr:colOff>
          <xdr:row>0</xdr:row>
          <xdr:rowOff>0</xdr:rowOff>
        </xdr:from>
        <xdr:to>
          <xdr:col>33</xdr:col>
          <xdr:colOff>409575</xdr:colOff>
          <xdr:row>1</xdr:row>
          <xdr:rowOff>19050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19050</xdr:colOff>
          <xdr:row>20</xdr:row>
          <xdr:rowOff>0</xdr:rowOff>
        </xdr:from>
        <xdr:to>
          <xdr:col>31</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AB65" headerRowDxfId="35" totalsRowDxfId="34">
  <sortState xmlns:xlrd2="http://schemas.microsoft.com/office/spreadsheetml/2017/richdata2" ref="A2:AB65">
    <sortCondition ref="B2"/>
  </sortState>
  <tableColumns count="28">
    <tableColumn id="1" xr3:uid="{00000000-0010-0000-0000-000001000000}" name="Anrede" totalsRowLabel="Familie" totalsRowDxfId="33"/>
    <tableColumn id="2" xr3:uid="{00000000-0010-0000-0000-000002000000}" name="Name" totalsRowLabel="Jackson" totalsRowDxfId="32"/>
    <tableColumn id="24" xr3:uid="{F6A27F1E-F13E-4412-96D2-EF782652BB2A}" name="Telefon" totalsRowLabel="0660 7999516" totalsRowDxfId="31"/>
    <tableColumn id="23" xr3:uid="{0DA0FD0B-AD24-4634-B406-E82086E77474}" name="Email" totalsRowLabel="reinhard.veit@gmx.at,j.jackson.at@gmail.com" totalsRowDxfId="30"/>
    <tableColumn id="21" xr3:uid="{00000000-0010-0000-0000-000015000000}" name="Adresse" totalsRowLabel="Furtgasse 6_x000a_3011 Purkersdorf" dataDxfId="29" totalsRowDxfId="28"/>
    <tableColumn id="3" xr3:uid="{00000000-0010-0000-0000-000003000000}" name="Vorname1" totalsRowLabel="Simone" totalsRowDxfId="27"/>
    <tableColumn id="4" xr3:uid="{00000000-0010-0000-0000-000004000000}" name="Einschreib1" totalsRowLabel="J" totalsRowDxfId="26"/>
    <tableColumn id="12" xr3:uid="{00000000-0010-0000-0000-00000C000000}" name="Ermäßigt1" totalsRowDxfId="25"/>
    <tableColumn id="5" xr3:uid="{00000000-0010-0000-0000-000005000000}" name="Vorname2" totalsRowDxfId="24"/>
    <tableColumn id="6" xr3:uid="{00000000-0010-0000-0000-000006000000}" name="Einschreib2" totalsRowDxfId="23"/>
    <tableColumn id="13" xr3:uid="{00000000-0010-0000-0000-00000D000000}" name="Ermäßigt2" totalsRowDxfId="22"/>
    <tableColumn id="7" xr3:uid="{00000000-0010-0000-0000-000007000000}" name="Vorname3" totalsRowDxfId="21"/>
    <tableColumn id="8" xr3:uid="{00000000-0010-0000-0000-000008000000}" name="Einschreib3" totalsRowDxfId="20"/>
    <tableColumn id="14" xr3:uid="{00000000-0010-0000-0000-00000E000000}" name="Ermäßigt3" totalsRowDxfId="19"/>
    <tableColumn id="9" xr3:uid="{00000000-0010-0000-0000-000009000000}" name="Vorname4" totalsRowDxfId="18"/>
    <tableColumn id="10" xr3:uid="{00000000-0010-0000-0000-00000A000000}" name="Einschreib4" totalsRowDxfId="17"/>
    <tableColumn id="15" xr3:uid="{00000000-0010-0000-0000-00000F000000}" name="Ermäßigt4" totalsRowDxfId="16"/>
    <tableColumn id="11" xr3:uid="{00000000-0010-0000-0000-00000B000000}" name="Vorname5" totalsRowDxfId="15"/>
    <tableColumn id="16" xr3:uid="{00000000-0010-0000-0000-000010000000}" name="Einschreib5" totalsRowDxfId="14"/>
    <tableColumn id="17" xr3:uid="{00000000-0010-0000-0000-000011000000}" name="Ermäßigt5" totalsRowDxfId="13"/>
    <tableColumn id="18" xr3:uid="{00000000-0010-0000-0000-000012000000}" name="Vorname6" totalsRowDxfId="12"/>
    <tableColumn id="19" xr3:uid="{00000000-0010-0000-0000-000013000000}" name="Einschreib6" totalsRowDxfId="11"/>
    <tableColumn id="20" xr3:uid="{00000000-0010-0000-0000-000014000000}" name="Ermäßigt6" totalsRowDxfId="10"/>
    <tableColumn id="25" xr3:uid="{8FF0A032-EB32-455F-8046-09809BC7D491}" name="Gesamt" totalsRowFunction="sum" dataDxfId="9" totalsRowDxfId="8">
      <calculatedColumnFormula>(Liste[[#This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calculatedColumnFormula>
    </tableColumn>
    <tableColumn id="22" xr3:uid="{0869AF61-5B1F-408A-954A-605F6AEC98CC}" name="AnzKinder" dataDxfId="7" totalsRowDxfId="6">
      <calculatedColumnFormula>(Liste[[#This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calculatedColumnFormula>
    </tableColumn>
    <tableColumn id="26" xr3:uid="{0E3BC703-5130-428E-9F83-84EF487010B0}" name="AnzMitg" dataDxfId="5" totalsRowDxfId="4">
      <calculatedColumnFormula>(Liste[[#This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calculatedColumnFormula>
    </tableColumn>
    <tableColumn id="27" xr3:uid="{1189B2DD-6E4D-4344-8DE7-89E206B0F430}" name="AnzEinschr" dataDxfId="3" totalsRowDxfId="2">
      <calculatedColumnFormula>(Liste[[#This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calculatedColumnFormula>
    </tableColumn>
    <tableColumn id="28" xr3:uid="{D481E693-B1EE-40EC-ADE2-78A628449D41}" name="pfadis" dataDxfId="1" totalsRowDxfId="0">
      <calculatedColumnFormula>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2"/>
  <sheetViews>
    <sheetView tabSelected="1" zoomScale="85" zoomScaleNormal="85" zoomScaleSheetLayoutView="85" workbookViewId="0">
      <selection activeCell="A10" sqref="A10:D10"/>
    </sheetView>
  </sheetViews>
  <sheetFormatPr baseColWidth="10" defaultRowHeight="15" x14ac:dyDescent="0.25"/>
  <cols>
    <col min="1" max="1" width="33" customWidth="1"/>
    <col min="2" max="2" width="24.5703125" customWidth="1"/>
    <col min="3" max="3" width="22.5703125" customWidth="1"/>
    <col min="4" max="4" width="17.5703125" customWidth="1"/>
    <col min="5" max="5" width="24.85546875" customWidth="1"/>
    <col min="6" max="6" width="11.42578125" customWidth="1"/>
    <col min="7" max="7" width="14.140625" customWidth="1"/>
    <col min="8" max="8" width="62.140625" customWidth="1"/>
    <col min="10" max="10" width="16.5703125" customWidth="1"/>
  </cols>
  <sheetData>
    <row r="1" spans="1:10" ht="33" customHeight="1" x14ac:dyDescent="0.25">
      <c r="A1" s="4" t="str">
        <f>kopfname</f>
        <v>Gruppe Musterhausen</v>
      </c>
      <c r="B1" s="2"/>
      <c r="E1">
        <v>1</v>
      </c>
      <c r="F1" s="40" t="s">
        <v>104</v>
      </c>
      <c r="G1" s="40"/>
      <c r="H1" s="6"/>
      <c r="I1" s="6"/>
      <c r="J1" s="6" t="s">
        <v>124</v>
      </c>
    </row>
    <row r="2" spans="1:10" ht="84.75" customHeight="1" x14ac:dyDescent="0.25">
      <c r="A2" s="21" t="str">
        <f>IF(INDEX(Liste[Anrede],zeilenindex)="Familie","Familie "&amp;INDEX(Liste[Name],zeilenindex),INDEX(Liste[Anrede],zeilenindex)&amp;" "&amp;INDEX(Liste[Name],zeilenindex)&amp;" "&amp;INDEX(Liste[Vorname1],zeilenindex))</f>
        <v>Familie Muster</v>
      </c>
      <c r="B2" s="2"/>
      <c r="F2" s="7"/>
      <c r="H2" s="26" t="str">
        <f>"cmail.exe -host:"""&amp;mailuser&amp;":"&amp;mailpwd&amp;"""@mail.ipax.at:587 -from:"&amp;mailuser&amp;" -to:"&amp;recipient&amp;" -cc:"&amp;ccrecipient&amp;" -subject:"""&amp;subject&amp;""" -body:"""&amp;bodymsg&amp;""" -a:Mitgliedsbeitragsbrief"&amp;zeilenindex&amp;".pdf -results:logfile.txt"</f>
        <v>cmail.exe -host:":"@mail.ipax.at:587 -from: -to:hinzkunz@muster.nix -cc:CC Empfängeradresse -subject:"Pfadfinder Gruppe Musterhausen, Mitgliedsbeitrag 2024/25" -body:"Liebe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Hinz+Kunz.
Liebe Grüße,
Eure Gruppenleiter und Mitglieder des Elternrats." -a:Mitgliedsbeitragsbrief1.pdf -results:logfile.txt</v>
      </c>
      <c r="I2" s="6" t="s">
        <v>125</v>
      </c>
    </row>
    <row r="3" spans="1:10" ht="41.25" customHeight="1" x14ac:dyDescent="0.25">
      <c r="A3" s="1" t="str">
        <f>INDEX(Liste[Adresse],zeilenindex)</f>
        <v>Musterstrasse 8/15, 
4711 Musterhausen</v>
      </c>
      <c r="B3" s="2"/>
      <c r="E3" t="str">
        <f>IF(mailuser="",SUBSTITUTE(IF(testmail="Ja",testkonto,SUBSTITUTE(INDEX(Liste[Email],zeilenindex),","," -to:")),",",";"),IF(testmail="Ja",testkonto,SUBSTITUTE(INDEX(Liste[Email],zeilenindex),","," -to:")))</f>
        <v>hinzkunz@muster.nix</v>
      </c>
      <c r="H3" s="1" t="str">
        <f>anrede&amp;","&amp;CHAR(10)&amp;IF(OR(Erinnerung="Nein",nachreg="Ja"),J3,I3)&amp;CHAR(10)&amp;"Liebe Grüße,"&amp;CHAR(10)&amp;"Eure Gruppenleiter und Mitglieder des Elternrats."</f>
        <v>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Hinz+Kunz.
Liebe Grüße,
Eure Gruppenleiter und Mitglieder des Elternrats.</v>
      </c>
      <c r="I3" t="str">
        <f>"wir vermissen "&amp;IF(Erinnerung2="Ja","noch immer ","")&amp;IF(INDEX(Liste[Anrede],zeilenindex)="Familie","Euren","Deinen")&amp;" Mitgliedsbeitrag, eventuell "&amp;IF(INDEX(Liste[Anrede],zeilenindex)="Familie","habt Ihr","hast Du")&amp;" unseren Brief nicht bekommen oder vergessen einzuzahlen."&amp;CHAR(10)&amp;"Der Verein finanziert die Ausgaben für die Pfadfinder zum Großteil über die Mitgliedsbeiträge, daher ist eine vollständige Einzahlung aller Beiträge sehr wichtig."&amp;CHAR(10)&amp;"Nach unseren Satzungen ist außerdem keine Registrierung beim Landesverband vorgesehen (somit keine Versicherung, keine Teilnahme an div. Aktivitäten z.b. Lager möglich!), wenn der Mitgliedsbeitrag nicht einbezahlt wird."&amp;CHAR(10)&amp;"Darüber hinaus wird die Mitgliedschaft am Ende des Pfadijahres beendet. Beiliegend nochmal der Mitgliedsbeitragsbrief für "&amp;IF(INDEX(Liste[Anrede],zeilenindex)="Familie",pfadis,"Dich")&amp;"."&amp;IF(Erinnerung2="Ja",CHAR(10)&amp;"Bitte so rasch wie möglich einzahlen, sonst können wir "&amp;IF(INDEX(Liste[Anrede],zeilenindex)="Familie",pfadis,"Dich")&amp;" nicht registrieren.","")</f>
        <v>wir vermissen Euren Mitgliedsbeitrag, eventuell habt Ihr unseren Brief nicht bekommen oder vergessen einzuzahlen.
Der Verein finanziert die Ausgaben für die Pfadfinder zum Großteil über die Mitgliedsbeiträge, daher ist eine vollständige Einzahlung aller Beiträge sehr wichtig.
Nach unseren Satzungen ist außerdem keine Registrierung beim Landesverband vorgesehen (somit keine Versicherung, keine Teilnahme an div. Aktivitäten z.b. Lager möglich!), wenn der Mitgliedsbeitrag nicht einbezahlt wird.
Darüber hinaus wird die Mitgliedschaft am Ende des Pfadijahres beendet. Beiliegend nochmal der Mitgliedsbeitragsbrief für Hinz+Kunz.</v>
      </c>
      <c r="J3" t="str">
        <f>"anbei der Mitgliedsbeitragsbrief für "&amp;IF(INDEX(Liste[Anrede],zeilenindex)="Familie",pfadis,"Dich")&amp;"."</f>
        <v>anbei der Mitgliedsbeitragsbrief für Hinz+Kunz.</v>
      </c>
    </row>
    <row r="4" spans="1:10" x14ac:dyDescent="0.25">
      <c r="B4" s="2"/>
      <c r="E4" t="str">
        <f>"Liebe"&amp;IF(INDEX(Liste[Anrede],zeilenindex)="Herr","r "&amp;INDEX(Liste[Vorname1],zeilenindex),IF(INDEX(Liste[Anrede],zeilenindex)="Frau"," "&amp;INDEX(Liste[Vorname1],zeilenindex)," "&amp;INDEX(Liste[Anrede],zeilenindex)&amp;" "&amp;INDEX(Liste[Name],zeilenindex)))</f>
        <v>Liebe Familie Muster</v>
      </c>
      <c r="H4" s="35" t="str">
        <f>"Pfadfinder "&amp;kopfname&amp;", Mitgliedsbeitrag "&amp;AufnahmeJahr&amp;"/"&amp;RIGHT(AufnahmeJahr+1,2)</f>
        <v>Pfadfinder Gruppe Musterhausen, Mitgliedsbeitrag 2024/25</v>
      </c>
    </row>
    <row r="5" spans="1:10" x14ac:dyDescent="0.25">
      <c r="B5" s="2"/>
      <c r="E5" t="str">
        <f>INDEX(Liste[Name],zeilenindex)&amp;pfadis</f>
        <v>MusterHinz+Kunz</v>
      </c>
    </row>
    <row r="6" spans="1:10" x14ac:dyDescent="0.25">
      <c r="A6" s="5" t="str">
        <f>"Pfadfinder "&amp;kopfname&amp;", "&amp;adresse</f>
        <v>Pfadfinder Gruppe Musterhausen, 9999 Musterhausen, Beispielplatz 1</v>
      </c>
      <c r="B6" s="2"/>
      <c r="E6" t="s">
        <v>77</v>
      </c>
      <c r="G6" s="27" t="s">
        <v>28</v>
      </c>
      <c r="H6" s="7" t="s">
        <v>108</v>
      </c>
    </row>
    <row r="7" spans="1:10" x14ac:dyDescent="0.25">
      <c r="A7" s="5" t="str">
        <f>"Mitgliedsbeitrag "&amp;AufnahmeJahr&amp;"/"&amp;RIGHT(AufnahmeJahr+1,2)</f>
        <v>Mitgliedsbeitrag 2024/25</v>
      </c>
      <c r="B7" s="2"/>
      <c r="E7" t="s">
        <v>91</v>
      </c>
      <c r="G7" s="28" t="s">
        <v>28</v>
      </c>
    </row>
    <row r="8" spans="1:10" ht="33" customHeight="1" x14ac:dyDescent="0.25">
      <c r="A8" t="str">
        <f>anrede&amp;"!"</f>
        <v>Liebe Familie Muster!</v>
      </c>
      <c r="B8" s="2"/>
      <c r="E8" t="s">
        <v>103</v>
      </c>
      <c r="G8" s="27" t="s">
        <v>123</v>
      </c>
      <c r="H8" s="27" t="s">
        <v>28</v>
      </c>
    </row>
    <row r="9" spans="1:10" x14ac:dyDescent="0.25">
      <c r="E9" t="s">
        <v>58</v>
      </c>
    </row>
    <row r="10" spans="1:10" ht="149.25" customHeight="1" x14ac:dyDescent="0.25">
      <c r="A10" s="36" t="str">
        <f>"Die Pfadfindergruppe "&amp;kopfname&amp;" ist für ihre Gruppenaktivitäten auf die finanzielle Unterstützung durch "&amp;IF(INDEX(Liste[Anrede],zeilenindex)="Familie","Euren","Deinen")&amp;" Mitgliedsbeitrag angewiesen. Der Mitgliedsbeitrag besteht aus einem Verbandsbeitrag (Registrierbeitrag), den wir an den Landesverband der niederösterreichischen"&amp;" Pfadfinder und Pfadfinderinnen abführen und der auch eine Haftpflicht- und Unfallversicherung beinhaltet, sowie dem vom Elternrat festgesetzten Gruppenbeitrag."&amp;"
Die Beiträge für Familien mit mehreren Mitgliedern (Kinder/Erwachsene) sind ab dem zweiten Mitglied halbiert, ab dem dritten Kind wird kein Gruppenbeitrag mehr "&amp;"eingehoben, für erwachsene Mitglieder wird grundsätzlich nur der  Verbandsbeitrag eingehoben."&amp;"
Es ergeben sich somit folgende Mitgliedsbeiträge:"</f>
        <v>Die Pfadfindergruppe Gruppe Musterhausen ist für ihre Gruppenaktivitäten auf die finanzielle Unterstützung durch Euren Mitgliedsbeitrag angewiesen. Der Mitgliedsbeitrag besteht aus einem Verbandsbeitrag (Registrierbeitrag), den wir an den Landesverband der niederösterreichischen Pfadfinder und Pfadfinderinnen abführen und der auch eine Haftpflicht- und Unfallversicherung beinhaltet, sowie dem vom Elternrat festgesetzten Gruppenbeitrag.
Die Beiträge für Familien mit mehreren Mitgliedern (Kinder/Erwachsene) sind ab dem zweiten Mitglied halbiert, ab dem dritten Kind wird kein Gruppenbeitrag mehr eingehoben, für erwachsene Mitglieder wird grundsätzlich nur der  Verbandsbeitrag eingehoben.
Es ergeben sich somit folgende Mitgliedsbeiträge:</v>
      </c>
      <c r="B10" s="36"/>
      <c r="C10" s="36"/>
      <c r="D10" s="36"/>
      <c r="E10" s="37" t="str">
        <f>SUBSTITUTE(SUBSTITUTE(SUBSTITUTE(SUBSTITUTE(SUBSTITUTE(SUBSTITUTE(SUBSTITUTE("BCD"&amp;CHAR(10)&amp;"002"&amp;CHAR(10)&amp;"1"&amp;CHAR(10)&amp;"SCT"&amp;CHAR(10)&amp;CHAR(10)&amp;lautend_auf&amp;CHAR(10)&amp;konto&amp;CHAR(10)&amp;"EUR"&amp;SUBSTITUTE(gebührgesamt,",",".")&amp;CHAR(10)&amp;CHAR(10)&amp;LEFT(referenz,31)&amp;RIGHT(AufnahmeJahr,2)&amp;RIGHT(AufnahmeJahr,2)+1&amp;CHAR(10)&amp;CHAR(10)&amp;zustext,"ü","ue"),"ö","oe"),"ä","ae"),"Ü","Ue"),"Ö","Oe"),"Ä","Ae"),"ß","ss")</f>
        <v>BCD
002
1
SCT
PPOe Pfadfindergruppe Musterhausen
AT12345600000987654
EUR199.5
MusterHinz+Kunz2425
Verband: 44,5;Gruppe:105;Einschreib:50</v>
      </c>
      <c r="F10" s="38"/>
      <c r="G10" s="39"/>
      <c r="H10" s="1" t="s">
        <v>121</v>
      </c>
    </row>
    <row r="11" spans="1:10" x14ac:dyDescent="0.25">
      <c r="A11" t="str">
        <f>"für das 1. Mitglied: € "&amp;TEXT(mitglbeitrag+reg,"0,00")&amp;" (Verbandsbeitrag: "&amp;TEXT(reg,"0,00")&amp;"; Gruppenbeitrag: "&amp;TEXT(mitglbeitrag,"0,00")&amp;")"</f>
        <v>für das 1. Mitglied: € 98,00 (Verbandsbeitrag: 28,00; Gruppenbeitrag: 70,00)</v>
      </c>
      <c r="E11" t="s">
        <v>92</v>
      </c>
      <c r="F11" t="str">
        <f>INDEX(Liste[pfadis],zeilenindex)</f>
        <v>Hinz+Kunz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c r="E12" t="s">
        <v>93</v>
      </c>
      <c r="F12">
        <f>INDEX(Liste[AnzKinder],zeilenindex)</f>
        <v>2</v>
      </c>
    </row>
    <row r="13" spans="1:10" x14ac:dyDescent="0.25">
      <c r="A13" t="str">
        <f>"für das 3. Mitglied und alle weiteren: nur mehr der Verbandsbeitrag: € "&amp;TEXT(regweitere,"0,00")</f>
        <v>für das 3. Mitglied und alle weiteren: nur mehr der Verbandsbeitrag: € 16,50</v>
      </c>
      <c r="E13" t="s">
        <v>94</v>
      </c>
      <c r="F13">
        <f>MIN(vorAnzahlKinder,maxAnzahlMglBtr)</f>
        <v>2</v>
      </c>
    </row>
    <row r="14" spans="1:10" x14ac:dyDescent="0.25">
      <c r="A14" t="str">
        <f>IF(anzEinschreib&gt;0,"Zum Eintritt wird für jedes Kind auch eine einmalige Einschreibgebühr von € "&amp;TEXT(einschreibgeb,"0,00")&amp;" (Halstuch, etc.) eingehoben.","")</f>
        <v>Zum Eintritt wird für jedes Kind auch eine einmalige Einschreibgebühr von € 25,00 (Halstuch, etc.) eingehoben.</v>
      </c>
      <c r="E14" t="s">
        <v>95</v>
      </c>
      <c r="F14">
        <f>INDEX(Liste[AnzMitg],zeilenindex)</f>
        <v>2</v>
      </c>
    </row>
    <row r="15" spans="1:10" x14ac:dyDescent="0.25">
      <c r="A15" t="str">
        <f>IF(nachreg="Ja","Für Nachregistrierungen (ab Sommersemester) wird der Gruppenbeitrag halbiert.","")</f>
        <v/>
      </c>
      <c r="E15" t="s">
        <v>96</v>
      </c>
      <c r="F15">
        <f>INDEX(Liste[AnzEinschr],zeilenindex)</f>
        <v>2</v>
      </c>
    </row>
    <row r="16" spans="1:10" x14ac:dyDescent="0.25">
      <c r="A16" s="23" t="str">
        <f>"Der gesamte zu zahlende Betrag für "&amp;IF(INDEX(Liste[Anrede],zeilenindex)="Familie",pfadis,"Dich")&amp;" ist somit: € "&amp;TEXT(gebührgesamt,"0,00")</f>
        <v>Der gesamte zu zahlende Betrag für Hinz+Kunz ist somit: € 199,50</v>
      </c>
      <c r="E16" t="s">
        <v>101</v>
      </c>
      <c r="F16">
        <f>IF(nachreg="Ja",2,1)</f>
        <v>1</v>
      </c>
    </row>
    <row r="17" spans="1:6" x14ac:dyDescent="0.25">
      <c r="A17" t="str">
        <f>"(Verbandsbeitr"&amp;IF(anzMitgl&gt;1,"äge ","ag ")&amp;TEXT(regsumme,"0,00")&amp;"; Gruppenbeitr"&amp;IF(anzMitgl&gt;1,"äge ","ag ")&amp;TEXT(mglbeitragsumme,"0,00")&amp;IF(anzEinschreib&gt;0,"; Einschreibgeb"&amp;IF(anzEinschreib&gt;1,"ühren ","ühr ")&amp;TEXT(einschreibsumme,"0,00"),"")&amp;")"</f>
        <v>(Verbandsbeiträge 44,50; Gruppenbeiträge 105,00; Einschreibgebühren 50,00)</v>
      </c>
      <c r="E17" t="s">
        <v>97</v>
      </c>
      <c r="F17">
        <f>IF(anzKinder&gt;0,mitglbeitrag+mitglbeitragweitere*(anzKinder-1),0)/teiler</f>
        <v>105</v>
      </c>
    </row>
    <row r="18" spans="1:6" x14ac:dyDescent="0.25">
      <c r="E18" t="s">
        <v>98</v>
      </c>
      <c r="F18">
        <f>IF(anzMitgl&gt;0,reg+regweitere*(anzMitgl-1),0)</f>
        <v>44.5</v>
      </c>
    </row>
    <row r="19" spans="1:6" x14ac:dyDescent="0.25">
      <c r="A19" t="str">
        <f>"Bitte obigen Betrag "&amp;IF(nachreg="Nein",E22,E23)</f>
        <v>Bitte obigen Betrag bis spätestens 29. November (zur Einhaltung der Registrierungsfrist beim Landesverband!)</v>
      </c>
      <c r="E19" t="s">
        <v>99</v>
      </c>
      <c r="F19">
        <f>einschreibgeb*anzEinschreib</f>
        <v>50</v>
      </c>
    </row>
    <row r="20" spans="1:6" x14ac:dyDescent="0.25">
      <c r="A20" t="str">
        <f>"auf das Konto "&amp;konto&amp;" bei der "&amp;bank&amp;", lautend auf """&amp;lautend_auf&amp;""""</f>
        <v>auf das Konto AT12345600000987654 bei der Musterhausenbank, lautend auf "PPÖ Pfadfindergruppe Musterhausen"</v>
      </c>
      <c r="E20" t="s">
        <v>100</v>
      </c>
      <c r="F20">
        <f>mglbeitragsumme+regsumme+einschreibsumme</f>
        <v>199.5</v>
      </c>
    </row>
    <row r="21" spans="1:6" x14ac:dyDescent="0.25">
      <c r="A21" t="str">
        <f>"überweisen. Als Verwendungszweck bitte "&amp;referenz&amp;RIGHT(AufnahmeJahr,2)&amp;"/"&amp;RIGHT(AufnahmeJahr,2)+1&amp;" angeben."</f>
        <v>überweisen. Als Verwendungszweck bitte MusterHinz+Kunz24/25 angeben.</v>
      </c>
      <c r="E21" s="3" t="str">
        <f>"Verband: "&amp;regsumme&amp;";Gruppe:"&amp;mglbeitragsumme&amp;IF(einschreibsumme&gt;0,";Einschreib:"&amp;einschreibsumme,"")</f>
        <v>Verband: 44,5;Gruppe:105;Einschreib:50</v>
      </c>
    </row>
    <row r="22" spans="1:6" x14ac:dyDescent="0.25">
      <c r="E22" t="str">
        <f>IF(Erinnerung2="Ja","so rasch wie möglich","bis spätestens "&amp;IF(Erinnerung="Ja","29. November","22. November"))&amp;" (zur Einhaltung der Registrierungsfrist beim Landesverband!)"</f>
        <v>bis spätestens 29. November (zur Einhaltung der Registrierungsfrist beim Landesverband!)</v>
      </c>
    </row>
    <row r="23" spans="1:6" x14ac:dyDescent="0.25">
      <c r="A23" t="s">
        <v>14</v>
      </c>
      <c r="E23" t="str">
        <f ca="1">"bis spätestens "&amp;TEXT(WORKDAY(TODAY(),10),"TTTT, TT.MM.JJJJ")</f>
        <v>bis spätestens Freitag, 13.12.2024</v>
      </c>
    </row>
    <row r="24" spans="1:6" x14ac:dyDescent="0.25">
      <c r="A24" t="str">
        <f>IF(INDEX(Liste[Anrede],zeilenindex)="Familie","Eure ","Deine ")&amp;"Gruppenleiter und Mitglieder des Elternrats"</f>
        <v>Eure Gruppenleiter und Mitglieder des Elternrats</v>
      </c>
    </row>
    <row r="25" spans="1:6" ht="24" customHeight="1" x14ac:dyDescent="0.25">
      <c r="A25" t="s">
        <v>105</v>
      </c>
    </row>
    <row r="26" spans="1:6" ht="7.5" customHeight="1" x14ac:dyDescent="0.25"/>
    <row r="27" spans="1:6" ht="114.75" customHeight="1" x14ac:dyDescent="0.25"/>
    <row r="28" spans="1:6" ht="8.25" customHeight="1" x14ac:dyDescent="0.25"/>
    <row r="29" spans="1:6" ht="13.5" customHeight="1" x14ac:dyDescent="0.25">
      <c r="A29" s="29" t="s">
        <v>26</v>
      </c>
      <c r="D29" s="30" t="s">
        <v>27</v>
      </c>
    </row>
    <row r="30" spans="1:6" ht="13.5" customHeight="1" x14ac:dyDescent="0.25">
      <c r="A30" s="29" t="str">
        <f>adresse</f>
        <v>9999 Musterhausen, Beispielplatz 1</v>
      </c>
      <c r="D30" s="30" t="str">
        <f>bank</f>
        <v>Musterhausenbank</v>
      </c>
    </row>
    <row r="31" spans="1:6" ht="13.5" customHeight="1" x14ac:dyDescent="0.25">
      <c r="A31" s="29" t="str">
        <f>"ZVR-Zahl: "&amp;zvrzahl</f>
        <v>ZVR-Zahl: 123456789</v>
      </c>
      <c r="D31" s="30" t="str">
        <f>konto</f>
        <v>AT12345600000987654</v>
      </c>
    </row>
    <row r="32" spans="1:6" ht="13.5" customHeight="1" x14ac:dyDescent="0.25">
      <c r="A32" s="31" t="str">
        <f>HYPERLINK(www,www)</f>
        <v>pfadfinder-musterhausen.at</v>
      </c>
      <c r="C32" s="21"/>
      <c r="D32" s="30" t="str">
        <f>"ltd. auf "&amp;lautend_auf</f>
        <v>ltd. auf PPÖ Pfadfindergruppe Musterhausen</v>
      </c>
    </row>
  </sheetData>
  <dataConsolidate/>
  <mergeCells count="3">
    <mergeCell ref="A10:D10"/>
    <mergeCell ref="E10:G10"/>
    <mergeCell ref="F1:G1"/>
  </mergeCells>
  <dataValidations count="2">
    <dataValidation type="list" allowBlank="1" showInputMessage="1" showErrorMessage="1" sqref="G7:G8 H8" xr:uid="{00000000-0002-0000-0000-000000000000}">
      <formula1>"Ja,Nein"</formula1>
    </dataValidation>
    <dataValidation type="list" allowBlank="1" showInputMessage="1" showErrorMessage="1" sqref="G6" xr:uid="{7BBFD5EE-E8F7-4111-B20D-1D2DE32AAF99}">
      <formula1>"Ja,Nein,N/A"</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542925</xdr:rowOff>
                  </from>
                  <to>
                    <xdr:col>5</xdr:col>
                    <xdr:colOff>438150</xdr:colOff>
                    <xdr:row>1</xdr:row>
                    <xdr:rowOff>752475</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mc:AlternateContent xmlns:mc="http://schemas.openxmlformats.org/markup-compatibility/2006">
          <mc:Choice Requires="x14">
            <control shapeId="1043" r:id="rId11" name="Button 19">
              <controlPr defaultSize="0" print="0" autoFill="0" autoPict="0" macro="[0]!parameterDateiÖffnen">
                <anchor moveWithCells="1" sizeWithCells="1">
                  <from>
                    <xdr:col>7</xdr:col>
                    <xdr:colOff>704850</xdr:colOff>
                    <xdr:row>9</xdr:row>
                    <xdr:rowOff>1695450</xdr:rowOff>
                  </from>
                  <to>
                    <xdr:col>7</xdr:col>
                    <xdr:colOff>2762250</xdr:colOff>
                    <xdr:row>10</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25</v>
      </c>
      <c r="B2" s="2">
        <v>35</v>
      </c>
    </row>
    <row r="3" spans="1:4" x14ac:dyDescent="0.25">
      <c r="A3" t="s">
        <v>75</v>
      </c>
      <c r="B3" s="24">
        <v>2</v>
      </c>
    </row>
    <row r="4" spans="1:4" x14ac:dyDescent="0.25">
      <c r="A4" t="s">
        <v>1</v>
      </c>
      <c r="B4" s="2">
        <v>28</v>
      </c>
    </row>
    <row r="5" spans="1:4" x14ac:dyDescent="0.25">
      <c r="A5" t="s">
        <v>2</v>
      </c>
      <c r="B5" s="2">
        <v>16.5</v>
      </c>
    </row>
    <row r="6" spans="1:4" x14ac:dyDescent="0.25">
      <c r="A6" t="s">
        <v>3</v>
      </c>
      <c r="B6" s="2">
        <v>25</v>
      </c>
    </row>
    <row r="7" spans="1:4" x14ac:dyDescent="0.25">
      <c r="A7" t="s">
        <v>34</v>
      </c>
      <c r="B7" t="s">
        <v>102</v>
      </c>
    </row>
    <row r="8" spans="1:4" x14ac:dyDescent="0.25">
      <c r="A8" t="s">
        <v>4</v>
      </c>
      <c r="B8" t="s">
        <v>45</v>
      </c>
    </row>
    <row r="9" spans="1:4" x14ac:dyDescent="0.25">
      <c r="A9" t="s">
        <v>5</v>
      </c>
      <c r="B9" t="s">
        <v>46</v>
      </c>
      <c r="D9" s="19"/>
    </row>
    <row r="10" spans="1:4" x14ac:dyDescent="0.25">
      <c r="A10" t="s">
        <v>15</v>
      </c>
      <c r="B10" t="s">
        <v>47</v>
      </c>
    </row>
    <row r="11" spans="1:4" x14ac:dyDescent="0.25">
      <c r="A11" t="s">
        <v>31</v>
      </c>
      <c r="B11" t="s">
        <v>48</v>
      </c>
    </row>
    <row r="12" spans="1:4" x14ac:dyDescent="0.25">
      <c r="A12" t="s">
        <v>32</v>
      </c>
      <c r="B12">
        <v>123456789</v>
      </c>
    </row>
    <row r="13" spans="1:4" x14ac:dyDescent="0.25">
      <c r="A13" t="s">
        <v>33</v>
      </c>
      <c r="B13" t="s">
        <v>49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H65"/>
  <sheetViews>
    <sheetView workbookViewId="0">
      <pane xSplit="2" ySplit="1" topLeftCell="C2" activePane="bottomRight" state="frozen"/>
      <selection pane="topRight" activeCell="C1" sqref="C1"/>
      <selection pane="bottomLeft" activeCell="A2" sqref="A2"/>
      <selection pane="bottomRight" activeCell="H5" sqref="H5"/>
    </sheetView>
  </sheetViews>
  <sheetFormatPr baseColWidth="10" defaultRowHeight="15" outlineLevelCol="1" x14ac:dyDescent="0.25"/>
  <cols>
    <col min="1" max="1" width="9" customWidth="1"/>
    <col min="2" max="2" width="13.28515625" customWidth="1"/>
    <col min="3" max="3" width="12.5703125" customWidth="1"/>
    <col min="4" max="4" width="40.85546875" customWidth="1"/>
    <col min="5" max="5" width="32.5703125"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7" width="10.28515625" customWidth="1"/>
    <col min="28" max="28" width="15.85546875" customWidth="1"/>
    <col min="29" max="29" width="3.7109375" customWidth="1"/>
    <col min="30" max="30" width="11.140625" customWidth="1"/>
    <col min="31" max="31" width="10" customWidth="1"/>
    <col min="32" max="32" width="8.28515625" customWidth="1"/>
    <col min="33" max="33" width="9.140625" customWidth="1"/>
  </cols>
  <sheetData>
    <row r="1" spans="1:34" x14ac:dyDescent="0.25">
      <c r="A1" t="s">
        <v>11</v>
      </c>
      <c r="B1" t="s">
        <v>6</v>
      </c>
      <c r="C1" t="s">
        <v>79</v>
      </c>
      <c r="D1" t="s">
        <v>78</v>
      </c>
      <c r="E1" t="s">
        <v>59</v>
      </c>
      <c r="F1" s="32" t="s">
        <v>16</v>
      </c>
      <c r="G1" s="33" t="s">
        <v>7</v>
      </c>
      <c r="H1" s="34" t="s">
        <v>21</v>
      </c>
      <c r="I1" t="s">
        <v>17</v>
      </c>
      <c r="J1" t="s">
        <v>8</v>
      </c>
      <c r="K1" t="s">
        <v>22</v>
      </c>
      <c r="L1" s="32" t="s">
        <v>18</v>
      </c>
      <c r="M1" s="33" t="s">
        <v>9</v>
      </c>
      <c r="N1" s="34" t="s">
        <v>23</v>
      </c>
      <c r="O1" s="32" t="s">
        <v>19</v>
      </c>
      <c r="P1" s="33" t="s">
        <v>10</v>
      </c>
      <c r="Q1" s="34" t="s">
        <v>24</v>
      </c>
      <c r="R1" s="32" t="s">
        <v>35</v>
      </c>
      <c r="S1" s="33" t="s">
        <v>36</v>
      </c>
      <c r="T1" s="34" t="s">
        <v>37</v>
      </c>
      <c r="U1" s="32" t="s">
        <v>38</v>
      </c>
      <c r="V1" s="33" t="s">
        <v>39</v>
      </c>
      <c r="W1" s="34" t="s">
        <v>40</v>
      </c>
      <c r="X1" t="s">
        <v>107</v>
      </c>
      <c r="Y1" t="s">
        <v>111</v>
      </c>
      <c r="Z1" t="s">
        <v>112</v>
      </c>
      <c r="AA1" t="s">
        <v>113</v>
      </c>
      <c r="AB1" t="s">
        <v>118</v>
      </c>
      <c r="AD1" s="3" t="s">
        <v>110</v>
      </c>
      <c r="AE1" s="3" t="s">
        <v>114</v>
      </c>
      <c r="AF1" s="3" t="s">
        <v>117</v>
      </c>
      <c r="AG1" s="3" t="s">
        <v>115</v>
      </c>
      <c r="AH1" s="3" t="s">
        <v>119</v>
      </c>
    </row>
    <row r="2" spans="1:34" ht="13.5" customHeight="1" x14ac:dyDescent="0.25">
      <c r="A2" s="8" t="s">
        <v>12</v>
      </c>
      <c r="B2" s="9" t="s">
        <v>42</v>
      </c>
      <c r="C2" s="9" t="s">
        <v>80</v>
      </c>
      <c r="D2" t="s">
        <v>85</v>
      </c>
      <c r="E2" s="22" t="s">
        <v>70</v>
      </c>
      <c r="F2" s="10" t="s">
        <v>64</v>
      </c>
      <c r="G2" s="9" t="s">
        <v>30</v>
      </c>
      <c r="H2" s="11"/>
      <c r="I2" s="10" t="s">
        <v>65</v>
      </c>
      <c r="J2" s="12" t="s">
        <v>30</v>
      </c>
      <c r="K2" s="12"/>
      <c r="L2" s="10"/>
      <c r="M2" s="9"/>
      <c r="N2" s="11"/>
      <c r="O2" s="10"/>
      <c r="P2" s="9"/>
      <c r="Q2" s="11"/>
      <c r="R2" s="10"/>
      <c r="S2" s="9"/>
      <c r="T2" s="11"/>
      <c r="U2" s="9"/>
      <c r="V2" s="9"/>
      <c r="W2" s="13"/>
      <c r="X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199.5</v>
      </c>
      <c r="Y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2</v>
      </c>
      <c r="Z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2</v>
      </c>
      <c r="AA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2</v>
      </c>
      <c r="AB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Hinz+Kunz</v>
      </c>
    </row>
    <row r="3" spans="1:34" ht="13.5" customHeight="1" x14ac:dyDescent="0.25">
      <c r="A3" s="14" t="s">
        <v>13</v>
      </c>
      <c r="B3" s="15" t="s">
        <v>43</v>
      </c>
      <c r="C3" s="15" t="s">
        <v>81</v>
      </c>
      <c r="D3" t="s">
        <v>86</v>
      </c>
      <c r="E3" s="22" t="s">
        <v>71</v>
      </c>
      <c r="F3" s="16" t="s">
        <v>60</v>
      </c>
      <c r="G3" s="15"/>
      <c r="H3" s="17" t="s">
        <v>29</v>
      </c>
      <c r="I3" s="16"/>
      <c r="J3" s="15"/>
      <c r="K3" s="15"/>
      <c r="L3" s="16"/>
      <c r="M3" s="15"/>
      <c r="N3" s="17"/>
      <c r="O3" s="16"/>
      <c r="P3" s="15"/>
      <c r="Q3" s="17"/>
      <c r="R3" s="16"/>
      <c r="S3" s="15"/>
      <c r="T3" s="17"/>
      <c r="U3" s="15"/>
      <c r="V3" s="15"/>
      <c r="W3" s="18"/>
      <c r="X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3" s="6" t="s">
        <v>122</v>
      </c>
    </row>
    <row r="4" spans="1:34" ht="13.5" customHeight="1" x14ac:dyDescent="0.25">
      <c r="A4" s="8" t="s">
        <v>20</v>
      </c>
      <c r="B4" s="9" t="s">
        <v>44</v>
      </c>
      <c r="C4" s="9" t="s">
        <v>82</v>
      </c>
      <c r="D4" t="s">
        <v>87</v>
      </c>
      <c r="E4" s="22" t="s">
        <v>72</v>
      </c>
      <c r="F4" s="10" t="s">
        <v>61</v>
      </c>
      <c r="G4" s="9"/>
      <c r="H4" s="11" t="s">
        <v>29</v>
      </c>
      <c r="I4" s="10"/>
      <c r="J4" s="9"/>
      <c r="K4" s="9"/>
      <c r="L4" s="10"/>
      <c r="M4" s="9"/>
      <c r="N4" s="11"/>
      <c r="O4" s="10"/>
      <c r="P4" s="9"/>
      <c r="Q4" s="11"/>
      <c r="R4" s="10"/>
      <c r="S4" s="9"/>
      <c r="T4" s="11"/>
      <c r="U4" s="9"/>
      <c r="V4" s="9"/>
      <c r="W4" s="13"/>
      <c r="X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 spans="1:34" ht="13.5" customHeight="1" x14ac:dyDescent="0.25">
      <c r="A5" s="14" t="s">
        <v>12</v>
      </c>
      <c r="B5" s="15" t="s">
        <v>68</v>
      </c>
      <c r="C5" s="15" t="s">
        <v>83</v>
      </c>
      <c r="D5" t="s">
        <v>89</v>
      </c>
      <c r="E5" s="22" t="s">
        <v>73</v>
      </c>
      <c r="F5" s="16" t="s">
        <v>62</v>
      </c>
      <c r="G5" s="15"/>
      <c r="H5" s="17"/>
      <c r="I5" s="16" t="s">
        <v>63</v>
      </c>
      <c r="J5" s="15" t="s">
        <v>29</v>
      </c>
      <c r="K5" s="15"/>
      <c r="L5" s="16"/>
      <c r="M5" s="15"/>
      <c r="N5" s="17"/>
      <c r="O5" s="16"/>
      <c r="P5" s="15"/>
      <c r="Q5" s="17"/>
      <c r="R5" s="16"/>
      <c r="S5" s="15"/>
      <c r="T5" s="17"/>
      <c r="U5" s="15"/>
      <c r="V5" s="15"/>
      <c r="W5" s="18"/>
      <c r="X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174.5</v>
      </c>
      <c r="Y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2</v>
      </c>
      <c r="Z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2</v>
      </c>
      <c r="AA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1</v>
      </c>
      <c r="AB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Krethi+Plethi</v>
      </c>
      <c r="AD5" t="s">
        <v>69</v>
      </c>
    </row>
    <row r="6" spans="1:34" ht="13.5" customHeight="1" x14ac:dyDescent="0.25">
      <c r="A6" s="8" t="s">
        <v>12</v>
      </c>
      <c r="B6" s="9" t="s">
        <v>66</v>
      </c>
      <c r="C6" s="9" t="s">
        <v>84</v>
      </c>
      <c r="D6" t="s">
        <v>88</v>
      </c>
      <c r="E6" s="22" t="s">
        <v>74</v>
      </c>
      <c r="F6" s="10" t="s">
        <v>67</v>
      </c>
      <c r="G6" s="9"/>
      <c r="H6" s="11"/>
      <c r="I6" s="10"/>
      <c r="J6" s="9"/>
      <c r="K6" s="9"/>
      <c r="L6" s="10"/>
      <c r="M6" s="9"/>
      <c r="N6" s="11"/>
      <c r="O6" s="10"/>
      <c r="P6" s="9"/>
      <c r="Q6" s="11"/>
      <c r="R6" s="10"/>
      <c r="S6" s="9"/>
      <c r="T6" s="11"/>
      <c r="U6" s="9"/>
      <c r="V6" s="9"/>
      <c r="W6" s="13"/>
      <c r="X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98</v>
      </c>
      <c r="Y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1</v>
      </c>
      <c r="Z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1</v>
      </c>
      <c r="AA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Otto</v>
      </c>
      <c r="AD6" s="20" t="str">
        <f>LEFT(SUBSTITUTE(exportfile,"GAB-Person-Export_",""),4)</f>
        <v>2024</v>
      </c>
    </row>
    <row r="7" spans="1:34" ht="13.5" customHeight="1" x14ac:dyDescent="0.25">
      <c r="X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7" t="s">
        <v>55</v>
      </c>
    </row>
    <row r="8" spans="1:34" ht="13.5" customHeight="1" x14ac:dyDescent="0.25">
      <c r="X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8" s="6" t="s">
        <v>56</v>
      </c>
      <c r="AE8" s="6" t="s">
        <v>57</v>
      </c>
      <c r="AF8" s="6"/>
    </row>
    <row r="9" spans="1:34" ht="13.5" customHeight="1" x14ac:dyDescent="0.25">
      <c r="X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9" t="s">
        <v>54</v>
      </c>
      <c r="AH9" s="3"/>
    </row>
    <row r="10" spans="1:34" ht="13.5" customHeight="1" x14ac:dyDescent="0.25">
      <c r="X1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0" s="25">
        <f>DATE(AufnahmeJahr,AE10,AF10)</f>
        <v>45468</v>
      </c>
      <c r="AE10" s="6">
        <v>6</v>
      </c>
      <c r="AF10" s="6">
        <v>25</v>
      </c>
    </row>
    <row r="11" spans="1:34" ht="13.5" customHeight="1" x14ac:dyDescent="0.25">
      <c r="X1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1" t="s">
        <v>120</v>
      </c>
    </row>
    <row r="12" spans="1:34" ht="13.5" customHeight="1" x14ac:dyDescent="0.25">
      <c r="X1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2" s="6" t="s">
        <v>50</v>
      </c>
    </row>
    <row r="13" spans="1:34" ht="13.5" customHeight="1" x14ac:dyDescent="0.25">
      <c r="X1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3" s="6" t="s">
        <v>51</v>
      </c>
    </row>
    <row r="14" spans="1:34" ht="13.5" customHeight="1" x14ac:dyDescent="0.25">
      <c r="X1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4" s="6" t="s">
        <v>52</v>
      </c>
    </row>
    <row r="15" spans="1:34" ht="13.5" customHeight="1" x14ac:dyDescent="0.25">
      <c r="X1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5" s="6" t="s">
        <v>53</v>
      </c>
    </row>
    <row r="16" spans="1:34" ht="13.5" customHeight="1" x14ac:dyDescent="0.25">
      <c r="X1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6" s="6" t="s">
        <v>106</v>
      </c>
    </row>
    <row r="17" spans="24:31" ht="13.5" customHeight="1" x14ac:dyDescent="0.25">
      <c r="X1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7" s="6" t="s">
        <v>109</v>
      </c>
      <c r="AE17" t="s">
        <v>116</v>
      </c>
    </row>
    <row r="18" spans="24:31" ht="13.5" customHeight="1" x14ac:dyDescent="0.25">
      <c r="X1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8" t="s">
        <v>126</v>
      </c>
    </row>
    <row r="19" spans="24:31" ht="13.5" customHeight="1" x14ac:dyDescent="0.25">
      <c r="X1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1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1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1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1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19" s="6" t="s">
        <v>76</v>
      </c>
    </row>
    <row r="20" spans="24:31" ht="13.5" customHeight="1" x14ac:dyDescent="0.25">
      <c r="X2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1" spans="24:31" ht="13.5" customHeight="1" x14ac:dyDescent="0.25">
      <c r="X2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2" spans="24:31" ht="13.5" customHeight="1" x14ac:dyDescent="0.25">
      <c r="X2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c r="AD22" t="s">
        <v>41</v>
      </c>
    </row>
    <row r="23" spans="24:31" ht="13.5" customHeight="1" x14ac:dyDescent="0.25">
      <c r="X2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4" spans="24:31" ht="13.5" customHeight="1" x14ac:dyDescent="0.25">
      <c r="X2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5" spans="24:31" ht="13.5" customHeight="1" x14ac:dyDescent="0.25">
      <c r="X2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6" spans="24:31" ht="13.5" customHeight="1" x14ac:dyDescent="0.25">
      <c r="X2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7" spans="24:31" ht="13.5" customHeight="1" x14ac:dyDescent="0.25">
      <c r="X2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8" spans="24:31" ht="13.5" customHeight="1" x14ac:dyDescent="0.25">
      <c r="X2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29" spans="24:31" ht="13.5" customHeight="1" x14ac:dyDescent="0.25">
      <c r="X2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2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2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2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2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0" spans="24:31" ht="13.5" customHeight="1" x14ac:dyDescent="0.25">
      <c r="X3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1" spans="24:31" ht="13.5" customHeight="1" x14ac:dyDescent="0.25">
      <c r="X3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2" spans="24:31" ht="13.5" customHeight="1" x14ac:dyDescent="0.25">
      <c r="X3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3" spans="24:28" ht="13.5" customHeight="1" x14ac:dyDescent="0.25">
      <c r="X3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4" spans="24:28" ht="13.5" customHeight="1" x14ac:dyDescent="0.25">
      <c r="X3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5" spans="24:28" ht="13.5" customHeight="1" x14ac:dyDescent="0.25">
      <c r="X3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6" spans="24:28" ht="13.5" customHeight="1" x14ac:dyDescent="0.25">
      <c r="X3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7" spans="24:28" ht="13.5" customHeight="1" x14ac:dyDescent="0.25">
      <c r="X3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8" spans="24:28" ht="13.5" customHeight="1" x14ac:dyDescent="0.25">
      <c r="X3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39" spans="24:28" ht="13.5" customHeight="1" x14ac:dyDescent="0.25">
      <c r="X3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3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3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3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3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0" spans="24:28" ht="13.5" customHeight="1" x14ac:dyDescent="0.25">
      <c r="X4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1" spans="24:28" ht="13.5" customHeight="1" x14ac:dyDescent="0.25">
      <c r="X4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2" spans="24:28" ht="13.5" customHeight="1" x14ac:dyDescent="0.25">
      <c r="X4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3" spans="24:28" ht="13.5" customHeight="1" x14ac:dyDescent="0.25">
      <c r="X4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4" spans="24:28" ht="13.5" customHeight="1" x14ac:dyDescent="0.25">
      <c r="X4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5" spans="24:28" ht="13.5" customHeight="1" x14ac:dyDescent="0.25">
      <c r="X4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6" spans="24:28" ht="13.5" customHeight="1" x14ac:dyDescent="0.25">
      <c r="X4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7" spans="24:28" ht="13.5" customHeight="1" x14ac:dyDescent="0.25">
      <c r="X4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8" spans="24:28" ht="13.5" customHeight="1" x14ac:dyDescent="0.25">
      <c r="X4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49" spans="24:28" ht="13.5" customHeight="1" x14ac:dyDescent="0.25">
      <c r="X4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4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4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4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4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0" spans="24:28" ht="13.5" customHeight="1" x14ac:dyDescent="0.25">
      <c r="X5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1" spans="24:28" ht="13.5" customHeight="1" x14ac:dyDescent="0.25">
      <c r="X5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2" spans="24:28" ht="13.5" customHeight="1" x14ac:dyDescent="0.25">
      <c r="X5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3" spans="24:28" ht="13.5" customHeight="1" x14ac:dyDescent="0.25">
      <c r="X5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4" spans="24:28" ht="13.5" customHeight="1" x14ac:dyDescent="0.25">
      <c r="X5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5" spans="24:28" ht="13.5" customHeight="1" x14ac:dyDescent="0.25">
      <c r="X5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6" spans="24:28" ht="13.5" customHeight="1" x14ac:dyDescent="0.25">
      <c r="X56">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6">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6">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6">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6"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7" spans="24:28" ht="13.5" customHeight="1" x14ac:dyDescent="0.25">
      <c r="X57">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7">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7">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7">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7"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8" spans="24:28" ht="13.5" customHeight="1" x14ac:dyDescent="0.25">
      <c r="X58">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8">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8">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8">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8"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59" spans="24:28" ht="13.5" customHeight="1" x14ac:dyDescent="0.25">
      <c r="X59">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59">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59">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59">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59"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0" spans="24:28" ht="13.5" customHeight="1" x14ac:dyDescent="0.25">
      <c r="X60">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0">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0">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0">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0"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1" spans="24:28" x14ac:dyDescent="0.25">
      <c r="X61">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1">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1">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1">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1"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2" spans="24:28" x14ac:dyDescent="0.25">
      <c r="X62">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2">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2">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2">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2"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3" spans="24:28" x14ac:dyDescent="0.25">
      <c r="X63">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3">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3">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3">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3"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4" spans="24:28" x14ac:dyDescent="0.25">
      <c r="X64">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4">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4">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4">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4"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row r="65" spans="24:28" x14ac:dyDescent="0.25">
      <c r="X65">
        <f>(Liste[[#This Row],[Vorname1]]&lt;&gt;"")*(Liste[[#This Row],[Ermäßigt1]]&lt;&gt;"E")*reg+(Liste[[#This Row],[Vorname2]]&lt;&gt;"")*(Liste[[#This Row],[Ermäßigt2]]&lt;&gt;"E")*regweitere+(Liste[[#This Row],[Vorname3]]&lt;&gt;"")*(Liste[[#This Row],[Ermäßigt3]]&lt;&gt;"E")*regweitere+(Liste[[#This Row],[Vorname4]]&lt;&gt;"")*(Liste[[#This Row],[Ermäßigt4]]&lt;&gt;"E")*regweitere+(Liste[[#This Row],[Vorname5]]&lt;&gt;"")*(Liste[[#This Row],[Ermäßigt5]]&lt;&gt;"E")*regweitere+(Liste[[#This Row],[Vorname6]]&lt;&gt;"")*(Liste[[#This Row],[Ermäßigt6]]&lt;&gt;"E")*regweitere+((Liste[[#This Row],[Vorname1]]&lt;&gt;"")*(Liste[[#This Row],[Ermäßigt1]]="")*mitglbeitrag+(Liste[[#This Row],[Vorname2]]&lt;&gt;"")*(Liste[[#This Row],[Ermäßigt2]]="")*mitglbeitragweitere)/teiler+(Liste[[#This Row],[Einschreib1]]&lt;&gt;"")*(Liste[[#This Row],[Ermäßigt1]]="")*einschreibgeb+(Liste[[#This Row],[Einschreib2]]&lt;&gt;"")*(Liste[[#This Row],[Ermäßigt2]]="")*einschreibgeb+(Liste[[#This Row],[Einschreib3]]&lt;&gt;"")*(Liste[[#This Row],[Ermäßigt3]]="")*einschreibgeb+(Liste[[#This Row],[Einschreib4]]&lt;&gt;"")*(Liste[[#This Row],[Ermäßigt4]]="")*einschreibgeb+(Liste[[#This Row],[Einschreib5]]&lt;&gt;"")*(Liste[[#This Row],[Ermäßigt5]]="")*einschreibgeb+(Liste[[#This Row],[Einschreib6]]&lt;&gt;"")*(Liste[[#This Row],[Ermäßigt6]]="")*einschreibgeb</f>
        <v>0</v>
      </c>
      <c r="Y65">
        <f>(Liste[[#This Row],[Vorname1]]&lt;&gt;"")*(Liste[[#This Row],[Ermäßigt1]]="")+(Liste[[#This Row],[Vorname2]]&lt;&gt;"")*(Liste[[#This Row],[Ermäßigt2]]="")+(Liste[[#This Row],[Vorname3]]&lt;&gt;"")*(Liste[[#This Row],[Ermäßigt3]]="")+(Liste[[#This Row],[Vorname4]]&lt;&gt;"")*(Liste[[#This Row],[Ermäßigt4]]="")+(Liste[[#This Row],[Vorname5]]&lt;&gt;"")*(Liste[[#This Row],[Ermäßigt5]]="")+(Liste[[#This Row],[Vorname6]]&lt;&gt;"")*(Liste[[#This Row],[Ermäßigt6]]="")</f>
        <v>0</v>
      </c>
      <c r="Z65">
        <f>(Liste[[#This Row],[Vorname1]]&lt;&gt;"")*(Liste[[#This Row],[Ermäßigt1]]&lt;&gt;"E")+(Liste[[#This Row],[Vorname2]]&lt;&gt;"")*(Liste[[#This Row],[Ermäßigt2]]&lt;&gt;"E")+(Liste[[#This Row],[Vorname3]]&lt;&gt;"")*(Liste[[#This Row],[Ermäßigt3]]&lt;&gt;"E")+(Liste[[#This Row],[Vorname4]]&lt;&gt;"")*(Liste[[#This Row],[Ermäßigt4]]&lt;&gt;"E")+(Liste[[#This Row],[Vorname5]]&lt;&gt;"")*(Liste[[#This Row],[Ermäßigt5]]&lt;&gt;"E")+(Liste[[#This Row],[Vorname6]]&lt;&gt;"")*(Liste[[#This Row],[Ermäßigt6]]&lt;&gt;"E")</f>
        <v>0</v>
      </c>
      <c r="AA65">
        <f>(Liste[[#This Row],[Einschreib1]]&lt;&gt;"")*(Liste[[#This Row],[Ermäßigt1]]="")+(Liste[[#This Row],[Einschreib2]]&lt;&gt;"")*(Liste[[#This Row],[Ermäßigt2]]="")+(Liste[[#This Row],[Einschreib3]]&lt;&gt;"")*(Liste[[#This Row],[Ermäßigt3]]="")+(Liste[[#This Row],[Einschreib4]]&lt;&gt;"")*(Liste[[#This Row],[Ermäßigt4]]="")+(Liste[[#This Row],[Einschreib5]]&lt;&gt;"")*(Liste[[#This Row],[Ermäßigt5]]="")+(Liste[[#This Row],[Einschreib6]]&lt;&gt;"")*(Liste[[#This Row],[Ermäßigt6]]="")</f>
        <v>0</v>
      </c>
      <c r="AB65" t="str">
        <f>IF((Liste[[#This Row],[Vorname1]]&lt;&gt;"")*(Liste[[#This Row],[Ermäßigt1]]&lt;&gt;"E"),Liste[Vorname1],"")&amp;IF((Liste[[#This Row],[Vorname2]]&lt;&gt;"")*(Liste[[#This Row],[Ermäßigt2]]&lt;&gt;"E"),"+"&amp;Liste[[#This Row],[Vorname2]],"")&amp;IF((Liste[[#This Row],[Vorname3]]&lt;&gt;"")*(Liste[[#This Row],[Ermäßigt3]]&lt;&gt;"E"),"+"&amp;Liste[[#This Row],[Vorname3]],"")&amp;IF((Liste[[#This Row],[Vorname4]]&lt;&gt;"")*(Liste[[#This Row],[Ermäßigt4]]&lt;&gt;"E"),"+"&amp;Liste[[#This Row],[Vorname4]],"")&amp;IF((Liste[[#This Row],[Vorname5]]&lt;&gt;"")*(Liste[[#This Row],[Ermäßigt5]]&lt;&gt;"E"),"+"&amp;Liste[[#This Row],[Vorname5]],"")&amp;IF((Liste[[#This Row],[Vorname6]]&lt;&gt;"")*(Liste[[#This Row],[Ermäßigt6]]&lt;&gt;"E"),"+"&amp;Liste[[#This Row],[Vorname6]],"")</f>
        <v/>
      </c>
    </row>
  </sheetData>
  <dataValidations count="1">
    <dataValidation type="list" allowBlank="1" showInputMessage="1" showErrorMessage="1" sqref="AD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28</xdr:col>
                    <xdr:colOff>228600</xdr:colOff>
                    <xdr:row>0</xdr:row>
                    <xdr:rowOff>0</xdr:rowOff>
                  </from>
                  <to>
                    <xdr:col>33</xdr:col>
                    <xdr:colOff>409575</xdr:colOff>
                    <xdr:row>1</xdr:row>
                    <xdr:rowOff>19050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29</xdr:col>
                    <xdr:colOff>19050</xdr:colOff>
                    <xdr:row>20</xdr:row>
                    <xdr:rowOff>0</xdr:rowOff>
                  </from>
                  <to>
                    <xdr:col>31</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H3" sqref="H3"/>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8" t="s">
        <v>12</v>
      </c>
      <c r="E1" s="9" t="s">
        <v>42</v>
      </c>
      <c r="F1" s="9" t="s">
        <v>80</v>
      </c>
      <c r="G1" t="s">
        <v>85</v>
      </c>
      <c r="H1" s="22" t="s">
        <v>70</v>
      </c>
      <c r="I1" s="10" t="s">
        <v>64</v>
      </c>
      <c r="J1" s="9" t="s">
        <v>30</v>
      </c>
      <c r="K1" s="11"/>
      <c r="L1" s="10" t="s">
        <v>65</v>
      </c>
      <c r="M1" s="12" t="s">
        <v>30</v>
      </c>
      <c r="N1" s="12"/>
      <c r="O1" s="10"/>
      <c r="P1" s="9"/>
      <c r="Q1" s="11"/>
      <c r="R1" s="10"/>
      <c r="S1" s="9"/>
      <c r="T1" s="11"/>
      <c r="U1" s="10"/>
      <c r="V1" s="9"/>
      <c r="W1" s="11"/>
      <c r="X1" s="9"/>
      <c r="Y1" s="9"/>
      <c r="Z1" s="13"/>
    </row>
    <row r="2" spans="1:26" ht="15" customHeight="1" x14ac:dyDescent="0.25">
      <c r="A2" t="s">
        <v>25</v>
      </c>
      <c r="B2" s="2">
        <v>35</v>
      </c>
      <c r="D2" s="14" t="s">
        <v>13</v>
      </c>
      <c r="E2" s="15" t="s">
        <v>43</v>
      </c>
      <c r="F2" s="15" t="s">
        <v>81</v>
      </c>
      <c r="G2" t="s">
        <v>86</v>
      </c>
      <c r="H2" s="22" t="s">
        <v>71</v>
      </c>
      <c r="I2" s="16" t="s">
        <v>60</v>
      </c>
      <c r="J2" s="15"/>
      <c r="K2" s="17" t="s">
        <v>29</v>
      </c>
      <c r="L2" s="16"/>
      <c r="M2" s="15"/>
      <c r="N2" s="15"/>
      <c r="O2" s="16"/>
      <c r="P2" s="15"/>
      <c r="Q2" s="17"/>
      <c r="R2" s="16"/>
      <c r="S2" s="15"/>
      <c r="T2" s="17"/>
      <c r="U2" s="16"/>
      <c r="V2" s="15"/>
      <c r="W2" s="17"/>
      <c r="X2" s="15"/>
      <c r="Y2" s="15"/>
      <c r="Z2" s="18"/>
    </row>
    <row r="3" spans="1:26" ht="15" customHeight="1" x14ac:dyDescent="0.25">
      <c r="A3" t="s">
        <v>75</v>
      </c>
      <c r="B3" s="24">
        <v>2</v>
      </c>
      <c r="D3" s="8" t="s">
        <v>20</v>
      </c>
      <c r="E3" s="9" t="s">
        <v>44</v>
      </c>
      <c r="F3" s="9" t="s">
        <v>82</v>
      </c>
      <c r="G3" t="s">
        <v>87</v>
      </c>
      <c r="H3" s="22" t="s">
        <v>72</v>
      </c>
      <c r="I3" s="10" t="s">
        <v>61</v>
      </c>
      <c r="J3" s="9"/>
      <c r="K3" s="11" t="s">
        <v>29</v>
      </c>
      <c r="L3" s="10"/>
      <c r="M3" s="9"/>
      <c r="N3" s="9"/>
      <c r="O3" s="10"/>
      <c r="P3" s="9"/>
      <c r="Q3" s="11"/>
      <c r="R3" s="10"/>
      <c r="S3" s="9"/>
      <c r="T3" s="11"/>
      <c r="U3" s="10"/>
      <c r="V3" s="9"/>
      <c r="W3" s="11"/>
      <c r="X3" s="9"/>
      <c r="Y3" s="9"/>
      <c r="Z3" s="13"/>
    </row>
    <row r="4" spans="1:26" ht="15" customHeight="1" x14ac:dyDescent="0.25">
      <c r="A4" t="s">
        <v>1</v>
      </c>
      <c r="B4" s="2">
        <v>28</v>
      </c>
      <c r="D4" s="14" t="s">
        <v>12</v>
      </c>
      <c r="E4" s="15" t="s">
        <v>68</v>
      </c>
      <c r="F4" s="15" t="s">
        <v>83</v>
      </c>
      <c r="G4" t="s">
        <v>89</v>
      </c>
      <c r="H4" s="22" t="s">
        <v>73</v>
      </c>
      <c r="I4" s="16" t="s">
        <v>62</v>
      </c>
      <c r="J4" s="15"/>
      <c r="K4" s="17"/>
      <c r="L4" s="16" t="s">
        <v>63</v>
      </c>
      <c r="M4" s="15" t="s">
        <v>29</v>
      </c>
      <c r="N4" s="15"/>
      <c r="O4" s="16"/>
      <c r="P4" s="15"/>
      <c r="Q4" s="17"/>
      <c r="R4" s="16"/>
      <c r="S4" s="15"/>
      <c r="T4" s="17"/>
      <c r="U4" s="16"/>
      <c r="V4" s="15"/>
      <c r="W4" s="17"/>
      <c r="X4" s="15"/>
      <c r="Y4" s="15"/>
      <c r="Z4" s="18"/>
    </row>
    <row r="5" spans="1:26" ht="15" customHeight="1" x14ac:dyDescent="0.25">
      <c r="A5" t="s">
        <v>2</v>
      </c>
      <c r="B5" s="2">
        <v>16.5</v>
      </c>
      <c r="D5" s="8" t="s">
        <v>12</v>
      </c>
      <c r="E5" s="9" t="s">
        <v>66</v>
      </c>
      <c r="F5" s="9" t="s">
        <v>84</v>
      </c>
      <c r="G5" t="s">
        <v>88</v>
      </c>
      <c r="H5" s="22" t="s">
        <v>74</v>
      </c>
      <c r="I5" s="10" t="s">
        <v>67</v>
      </c>
      <c r="J5" s="9"/>
      <c r="K5" s="11"/>
      <c r="L5" s="10"/>
      <c r="M5" s="9"/>
      <c r="N5" s="9"/>
      <c r="O5" s="10"/>
      <c r="P5" s="9"/>
      <c r="Q5" s="11"/>
      <c r="R5" s="10"/>
      <c r="S5" s="9"/>
      <c r="T5" s="11"/>
      <c r="U5" s="10"/>
      <c r="V5" s="9"/>
      <c r="W5" s="11"/>
      <c r="X5" s="9"/>
      <c r="Y5" s="9"/>
      <c r="Z5" s="13"/>
    </row>
    <row r="6" spans="1:26" ht="15" customHeight="1" x14ac:dyDescent="0.25">
      <c r="A6" t="s">
        <v>3</v>
      </c>
      <c r="B6" s="2">
        <v>25</v>
      </c>
    </row>
    <row r="7" spans="1:26" ht="15" customHeight="1" x14ac:dyDescent="0.25">
      <c r="A7" t="s">
        <v>90</v>
      </c>
      <c r="B7" t="s">
        <v>102</v>
      </c>
    </row>
    <row r="8" spans="1:26" ht="15" customHeight="1" x14ac:dyDescent="0.25">
      <c r="A8" t="s">
        <v>4</v>
      </c>
      <c r="B8" t="s">
        <v>45</v>
      </c>
    </row>
    <row r="9" spans="1:26" ht="15" customHeight="1" x14ac:dyDescent="0.25">
      <c r="A9" t="s">
        <v>5</v>
      </c>
      <c r="B9" t="s">
        <v>46</v>
      </c>
    </row>
    <row r="10" spans="1:26" ht="15" customHeight="1" x14ac:dyDescent="0.25">
      <c r="A10" t="s">
        <v>15</v>
      </c>
      <c r="B10" t="s">
        <v>47</v>
      </c>
    </row>
    <row r="11" spans="1:26" ht="15" customHeight="1" x14ac:dyDescent="0.25">
      <c r="A11" t="s">
        <v>31</v>
      </c>
      <c r="B11" t="s">
        <v>48</v>
      </c>
    </row>
    <row r="12" spans="1:26" ht="15" customHeight="1" x14ac:dyDescent="0.25">
      <c r="A12" t="s">
        <v>32</v>
      </c>
      <c r="B12">
        <v>123456789</v>
      </c>
    </row>
    <row r="13" spans="1:26" ht="15" customHeight="1" x14ac:dyDescent="0.25">
      <c r="A13" t="s">
        <v>33</v>
      </c>
      <c r="B13" t="s">
        <v>49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57</vt:i4>
      </vt:variant>
    </vt:vector>
  </HeadingPairs>
  <TitlesOfParts>
    <vt:vector size="61" baseType="lpstr">
      <vt:lpstr>Brief</vt:lpstr>
      <vt:lpstr>Parameter</vt:lpstr>
      <vt:lpstr>Liste</vt:lpstr>
      <vt:lpstr>Beispiel</vt:lpstr>
      <vt:lpstr>adresse</vt:lpstr>
      <vt:lpstr>anrede</vt:lpstr>
      <vt:lpstr>anzEinschreib</vt:lpstr>
      <vt:lpstr>AnzEinschrFormel</vt:lpstr>
      <vt:lpstr>anzKinder</vt:lpstr>
      <vt:lpstr>AnzKinderFormel</vt:lpstr>
      <vt:lpstr>AnzMitgFormel</vt:lpstr>
      <vt:lpstr>anzMitgl</vt:lpstr>
      <vt:lpstr>AufnahmeJahr</vt:lpstr>
      <vt:lpstr>bank</vt:lpstr>
      <vt:lpstr>bodymsg</vt:lpstr>
      <vt:lpstr>ccrecipient</vt:lpstr>
      <vt:lpstr>CheckSumme</vt:lpstr>
      <vt:lpstr>datenträger</vt:lpstr>
      <vt:lpstr>Brief!Druckbereich</vt:lpstr>
      <vt:lpstr>einschreibgeb</vt:lpstr>
      <vt:lpstr>einschreibsumme</vt:lpstr>
      <vt:lpstr>Erinnerung</vt:lpstr>
      <vt:lpstr>Erinnerung2</vt:lpstr>
      <vt:lpstr>ermässigt</vt:lpstr>
      <vt:lpstr>exportfile</vt:lpstr>
      <vt:lpstr>FunktionenErwMitglieder</vt:lpstr>
      <vt:lpstr>gebührgesamt</vt:lpstr>
      <vt:lpstr>gitOrdner</vt:lpstr>
      <vt:lpstr>GruppierenNach</vt:lpstr>
      <vt:lpstr>konto</vt:lpstr>
      <vt:lpstr>kopfname</vt:lpstr>
      <vt:lpstr>lautend_auf</vt:lpstr>
      <vt:lpstr>mailcmd</vt:lpstr>
      <vt:lpstr>mailpwd</vt:lpstr>
      <vt:lpstr>mailuser</vt:lpstr>
      <vt:lpstr>maxAnzahlMglBtr</vt:lpstr>
      <vt:lpstr>mglbeitragsumme</vt:lpstr>
      <vt:lpstr>mitglbeitrag</vt:lpstr>
      <vt:lpstr>mitglbeitragweitere</vt:lpstr>
      <vt:lpstr>nachreg</vt:lpstr>
      <vt:lpstr>neuregistrierungAb</vt:lpstr>
      <vt:lpstr>pfadis</vt:lpstr>
      <vt:lpstr>pfadisFormel</vt:lpstr>
      <vt:lpstr>QRCode</vt:lpstr>
      <vt:lpstr>recipient</vt:lpstr>
      <vt:lpstr>referenz</vt:lpstr>
      <vt:lpstr>reg</vt:lpstr>
      <vt:lpstr>regsumme</vt:lpstr>
      <vt:lpstr>regweitere</vt:lpstr>
      <vt:lpstr>subject</vt:lpstr>
      <vt:lpstr>teiler</vt:lpstr>
      <vt:lpstr>testkonto</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2024-11-23T10:37:17Z</cp:lastPrinted>
  <dcterms:created xsi:type="dcterms:W3CDTF">2018-11-03T22:12:52Z</dcterms:created>
  <dcterms:modified xsi:type="dcterms:W3CDTF">2024-11-29T18:21:45Z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