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0311665A-4E8B-4CC6-B79F-59D2E610D60C}" xr6:coauthVersionLast="47" xr6:coauthVersionMax="47" xr10:uidLastSave="{00000000-0000-0000-0000-000000000000}"/>
  <bookViews>
    <workbookView xWindow="-120" yWindow="-120" windowWidth="29040" windowHeight="17790" tabRatio="423" xr2:uid="{00000000-000D-0000-FFFF-FFFF00000000}"/>
  </bookViews>
  <sheets>
    <sheet name="Brief" sheetId="1" r:id="rId1"/>
    <sheet name="Parameter" sheetId="2" r:id="rId2"/>
    <sheet name="Liste" sheetId="3" r:id="rId3"/>
    <sheet name="ExtraAdressen" sheetId="5" r:id="rId4"/>
    <sheet name="Beispiel" sheetId="4" state="hidden" r:id="rId5"/>
  </sheets>
  <functionGroups builtInGroupCount="19"/>
  <definedNames>
    <definedName name="adresse">Parameter!$B$11</definedName>
    <definedName name="anrede">Brief!$E$4</definedName>
    <definedName name="AufnahmeJahr">Brief!$E$8</definedName>
    <definedName name="bank">Parameter!$B$10</definedName>
    <definedName name="bodymsg">Brief!$H$3</definedName>
    <definedName name="ccrecipient">Brief!$I$2</definedName>
    <definedName name="_xlnm.Print_Area" localSheetId="0">Brief!$A$1:$D$39</definedName>
    <definedName name="Erinnerung">Brief!$G$8</definedName>
    <definedName name="ermässigt">Liste!$Y$8:$AA$8</definedName>
    <definedName name="exportfile">Liste!$AA$1</definedName>
    <definedName name="gitOrdner">Liste!$Y$9</definedName>
    <definedName name="GruppierenNach">Liste!$Y$6</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pfadis">Brief!$F$11</definedName>
    <definedName name="recipient">Brief!$E$3</definedName>
    <definedName name="referenz">Brief!$E$5</definedName>
    <definedName name="subject">Brief!$A$7</definedName>
    <definedName name="testkonto">Brief!$J$1</definedName>
    <definedName name="testmail">Brief!$G$7</definedName>
    <definedName name="www">Parameter!$B$13</definedName>
    <definedName name="zeilenindex">Brief!$E$1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1" l="1"/>
  <c r="H3" i="1"/>
  <c r="A10" i="1"/>
  <c r="D4" i="1"/>
  <c r="A7" i="1"/>
  <c r="E3" i="1"/>
  <c r="A22" i="1"/>
  <c r="A21" i="1"/>
  <c r="A20" i="1"/>
  <c r="E8" i="1" l="1"/>
  <c r="A6" i="1"/>
  <c r="E4" i="1" l="1"/>
  <c r="H2" i="1" l="1"/>
  <c r="A1" i="1"/>
  <c r="A2" i="1" l="1"/>
  <c r="A3" i="1" l="1"/>
  <c r="D39" i="1" l="1"/>
  <c r="D38" i="1"/>
  <c r="A39" i="1"/>
  <c r="A38" i="1"/>
  <c r="A37" i="1"/>
  <c r="D3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leer lassen für interaktive Erstellung des Mails mit Outlook</t>
        </r>
        <r>
          <rPr>
            <sz val="9"/>
            <color indexed="81"/>
            <rFont val="Segoe UI"/>
            <family val="2"/>
          </rPr>
          <t xml:space="preserve">
</t>
        </r>
      </text>
    </comment>
  </commentList>
</comments>
</file>

<file path=xl/sharedStrings.xml><?xml version="1.0" encoding="utf-8"?>
<sst xmlns="http://schemas.openxmlformats.org/spreadsheetml/2006/main" count="170" uniqueCount="109">
  <si>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</si>
  <si>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</si>
  <si>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</si>
  <si>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</si>
  <si>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</si>
  <si>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</si>
  <si>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</si>
  <si>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</si>
  <si>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</si>
  <si>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</si>
  <si>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</si>
  <si>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</si>
  <si>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</si>
  <si>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</si>
  <si>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Bank:</t>
  </si>
  <si>
    <t>Vorname1</t>
  </si>
  <si>
    <t>Vorname2</t>
  </si>
  <si>
    <t>Vorname3</t>
  </si>
  <si>
    <t>Vorname4</t>
  </si>
  <si>
    <t>Frau</t>
  </si>
  <si>
    <t>Ermäßigt1</t>
  </si>
  <si>
    <t>Ermäßigt2</t>
  </si>
  <si>
    <t>Ermäßigt3</t>
  </si>
  <si>
    <t>Ermäßigt4</t>
  </si>
  <si>
    <t>Mitgliedsbeitrag weitere K.:</t>
  </si>
  <si>
    <t>Anschrift:</t>
  </si>
  <si>
    <t>Bankverbindung:</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</si>
  <si>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</si>
  <si>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</si>
  <si>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</si>
  <si>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</si>
  <si>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</si>
  <si>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</si>
  <si>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</si>
  <si>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</si>
  <si>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</si>
  <si>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</si>
  <si>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</si>
  <si>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</si>
  <si>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</si>
  <si>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</si>
  <si>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</si>
  <si>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</si>
  <si>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</si>
  <si>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</si>
  <si>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</si>
  <si>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</si>
  <si>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</si>
  <si>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Adresse</t>
  </si>
  <si>
    <t>Gruppierung beim Export nach:</t>
  </si>
  <si>
    <t>Max</t>
  </si>
  <si>
    <t>Erika</t>
  </si>
  <si>
    <t>Krethi</t>
  </si>
  <si>
    <t>Plethi</t>
  </si>
  <si>
    <t>Hinz</t>
  </si>
  <si>
    <t>Kunz</t>
  </si>
  <si>
    <t>Normalverbraucher</t>
  </si>
  <si>
    <t>Otto</t>
  </si>
  <si>
    <t>Möglich</t>
  </si>
  <si>
    <t>Musterstrasse 8/15, 
4711 Musterhausen</t>
  </si>
  <si>
    <t>Mustergasse 1/2, 
4711 Musterhausen</t>
  </si>
  <si>
    <t>Musterplatz 1, 
4711 Musterhausen</t>
  </si>
  <si>
    <t>Musterallee 7, 
4711 Musterhausen</t>
  </si>
  <si>
    <t>Musterhof 9, 
4711 Musterhausen</t>
  </si>
  <si>
    <t>max. Anzahl Mitglbeiträge</t>
  </si>
  <si>
    <t>Strasse/Plz</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</si>
  <si>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</si>
  <si>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</si>
  <si>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</si>
  <si>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</si>
  <si>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</si>
  <si>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</si>
  <si>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</si>
  <si>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</si>
  <si>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</si>
  <si>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</si>
  <si>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</si>
  <si>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</si>
  <si>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</si>
  <si>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</si>
  <si>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Gruppe Musterhausen</t>
  </si>
  <si>
    <t>Falls die Knöpfe nicht funktionieren, unter Datei/Informationen, Inhalt (Makros) aktivieren…</t>
  </si>
  <si>
    <t>Tagesordnung:</t>
  </si>
  <si>
    <t>1. Begrüßung</t>
  </si>
  <si>
    <t>2. Genehmigung der endgültigen Tagesordnung</t>
  </si>
  <si>
    <t>3. Tätigkeitsbericht des Elternratsobmanns</t>
  </si>
  <si>
    <t>4. Tätigkeitsbericht der Gruppenleitung</t>
  </si>
  <si>
    <t>5. Bericht der Kassierin über die Finanz- und Vermögensgebarung der Gruppe im Vorjahr</t>
  </si>
  <si>
    <t>7. Entlastung des Elternrats</t>
  </si>
  <si>
    <t>6. Bericht der Rechnungsprüfer_innen</t>
  </si>
  <si>
    <t>(Schriftführer)</t>
  </si>
  <si>
    <t>im Namen des Elternrates,</t>
  </si>
  <si>
    <t>Mail des ER-Obmanns:</t>
  </si>
  <si>
    <t>beim Obmann schriftlich bzw. per E-Mail einbringen.</t>
  </si>
  <si>
    <t>ER: erste Wahl:</t>
  </si>
  <si>
    <t>Nein</t>
  </si>
  <si>
    <t>Die Gruppenleiter und der Elternrat freuen sich auf interessante Gespräche.</t>
  </si>
  <si>
    <t>Anträge an die Jahresversammlung können alle stimmberechtigten Mitglieder bis spätestens nächsten Montag</t>
  </si>
  <si>
    <t>Die endgültige Tagesordnung wird zu Beginn der Versammlung bekanntgegeben.</t>
  </si>
  <si>
    <t>GAB-Person-Export_2024-10-25</t>
  </si>
  <si>
    <t>CC Empfängeradresse</t>
  </si>
  <si>
    <t>Gemeinde Musterhausen
z.H. Herrn Bürgermeister Max Muster</t>
  </si>
  <si>
    <t>gemeinde@musterhausen.gv.at</t>
  </si>
  <si>
    <t>Musterstrasse 99
9999 Musterhausen</t>
  </si>
  <si>
    <t>Bezirkshauptmannschaft  Musterbezirk</t>
  </si>
  <si>
    <t>Musterbezirk@noel.gv.at</t>
  </si>
  <si>
    <t>Thomas.Muster@musterhausen.at</t>
  </si>
  <si>
    <t>Max Meier</t>
  </si>
  <si>
    <t>test@konto.org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</si>
</sst>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sz val="9"/>
      <color indexed="81"/>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5" tint="0.59999389629810485"/>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s>
  <cellStyleXfs count="2">
    <xf numFmtId="0" fontId="0" fillId="0" borderId="0"/>
    <xf numFmtId="0" fontId="4" fillId="0" borderId="0" applyNumberFormat="0" applyFill="0" applyBorder="0" applyAlignment="0" applyProtection="0"/>
  </cellStyleXfs>
  <cellXfs count="44">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3" borderId="4" xfId="0" applyFill="1" applyBorder="1"/>
    <xf numFmtId="0" fontId="0" fillId="3"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7" xfId="0" applyFill="1" applyBorder="1"/>
    <xf numFmtId="0" fontId="0" fillId="0" borderId="4" xfId="0" applyBorder="1"/>
    <xf numFmtId="0" fontId="0" fillId="0" borderId="5" xfId="0" applyBorder="1"/>
    <xf numFmtId="0" fontId="0" fillId="0" borderId="8" xfId="0" applyBorder="1"/>
    <xf numFmtId="0" fontId="0" fillId="0" borderId="9" xfId="0" applyBorder="1"/>
    <xf numFmtId="0" fontId="0" fillId="0" borderId="7" xfId="0" applyBorder="1"/>
    <xf numFmtId="0" fontId="8" fillId="0" borderId="0" xfId="0" applyFont="1"/>
    <xf numFmtId="0" fontId="0" fillId="3" borderId="5" xfId="0" applyFill="1" applyBorder="1" applyAlignment="1">
      <alignment wrapText="1"/>
    </xf>
    <xf numFmtId="1" fontId="0" fillId="0" borderId="0" xfId="0" applyNumberFormat="1"/>
    <xf numFmtId="0" fontId="10" fillId="0" borderId="0" xfId="0" applyFont="1" applyAlignment="1">
      <alignment wrapText="1"/>
    </xf>
    <xf numFmtId="0" fontId="0" fillId="4" borderId="0" xfId="0" applyFill="1"/>
    <xf numFmtId="20" fontId="0" fillId="2" borderId="10" xfId="0" applyNumberFormat="1" applyFill="1" applyBorder="1"/>
    <xf numFmtId="0" fontId="0" fillId="2" borderId="10" xfId="0" applyFill="1" applyBorder="1" applyAlignment="1">
      <alignment wrapText="1"/>
    </xf>
    <xf numFmtId="0" fontId="0" fillId="0" borderId="0" xfId="0" applyAlignment="1">
      <alignment horizontal="left" wrapText="1"/>
    </xf>
    <xf numFmtId="0" fontId="0" fillId="0" borderId="0" xfId="0" applyAlignment="1">
      <alignment horizontal="right"/>
    </xf>
    <xf numFmtId="0" fontId="4" fillId="0" borderId="0" xfId="1"/>
    <xf numFmtId="14" fontId="0" fillId="0" borderId="0" xfId="0" applyNumberFormat="1"/>
    <xf numFmtId="14" fontId="0" fillId="2" borderId="10" xfId="0" applyNumberFormat="1" applyFill="1" applyBorder="1"/>
    <xf numFmtId="0" fontId="0" fillId="3" borderId="11" xfId="0" applyFill="1" applyBorder="1"/>
    <xf numFmtId="0" fontId="0" fillId="3" borderId="12" xfId="0" applyFill="1" applyBorder="1"/>
    <xf numFmtId="0" fontId="4" fillId="3" borderId="5" xfId="1" applyFill="1" applyBorder="1"/>
    <xf numFmtId="0" fontId="4" fillId="0" borderId="5" xfId="1" applyBorder="1"/>
    <xf numFmtId="0" fontId="0" fillId="0" borderId="0" xfId="0" applyAlignment="1">
      <alignment horizontal="left" vertical="top" wrapText="1"/>
    </xf>
    <xf numFmtId="0" fontId="10" fillId="0" borderId="0" xfId="0" quotePrefix="1" applyFont="1" applyAlignment="1">
      <alignment horizontal="left" vertical="top" wrapText="1"/>
    </xf>
  </cellXfs>
  <cellStyles count="2">
    <cellStyle name="Link" xfId="1" builtinId="8"/>
    <cellStyle name="Standard" xfId="0" builtinId="0"/>
  </cellStyles>
  <dxfs count="8">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9525</xdr:colOff>
          <xdr:row>0</xdr:row>
          <xdr:rowOff>0</xdr:rowOff>
        </xdr:from>
        <xdr:to>
          <xdr:col>26</xdr:col>
          <xdr:colOff>19050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6</xdr:row>
          <xdr:rowOff>161925</xdr:rowOff>
        </xdr:from>
        <xdr:to>
          <xdr:col>26</xdr:col>
          <xdr:colOff>171450</xdr:colOff>
          <xdr:row>7</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W64" totalsRowShown="0">
  <sortState xmlns:xlrd2="http://schemas.microsoft.com/office/spreadsheetml/2017/richdata2" ref="A2:W62">
    <sortCondition ref="B2"/>
  </sortState>
  <tableColumns count="23">
    <tableColumn id="1" xr3:uid="{00000000-0010-0000-0000-000001000000}" name="Anrede" dataDxfId="5"/>
    <tableColumn id="2" xr3:uid="{00000000-0010-0000-0000-000002000000}" name="Name" dataDxfId="4"/>
    <tableColumn id="24" xr3:uid="{F6A27F1E-F13E-4412-96D2-EF782652BB2A}" name="Telefon" dataDxfId="3"/>
    <tableColumn id="23" xr3:uid="{0DA0FD0B-AD24-4634-B406-E82086E77474}" name="Email" dataDxfId="2"/>
    <tableColumn id="21" xr3:uid="{00000000-0010-0000-0000-000015000000}" name="Adresse" dataDxfId="1"/>
    <tableColumn id="3" xr3:uid="{00000000-0010-0000-0000-000003000000}" name="Vorname1" dataDxfId="0"/>
    <tableColumn id="4" xr3:uid="{00000000-0010-0000-0000-000004000000}" name="Einschreib1"/>
    <tableColumn id="12" xr3:uid="{00000000-0010-0000-0000-00000C000000}" name="Ermäßigt1"/>
    <tableColumn id="5" xr3:uid="{00000000-0010-0000-0000-000005000000}" name="Vorname2"/>
    <tableColumn id="6" xr3:uid="{00000000-0010-0000-0000-000006000000}" name="Einschreib2"/>
    <tableColumn id="13" xr3:uid="{00000000-0010-0000-0000-00000D000000}" name="Ermäßigt2"/>
    <tableColumn id="7" xr3:uid="{00000000-0010-0000-0000-000007000000}" name="Vorname3"/>
    <tableColumn id="8" xr3:uid="{00000000-0010-0000-0000-000008000000}" name="Einschreib3"/>
    <tableColumn id="14" xr3:uid="{00000000-0010-0000-0000-00000E000000}" name="Ermäßigt3"/>
    <tableColumn id="9" xr3:uid="{00000000-0010-0000-0000-000009000000}" name="Vorname4"/>
    <tableColumn id="10" xr3:uid="{00000000-0010-0000-0000-00000A000000}" name="Einschreib4"/>
    <tableColumn id="15" xr3:uid="{00000000-0010-0000-0000-00000F000000}" name="Ermäßigt4"/>
    <tableColumn id="11" xr3:uid="{00000000-0010-0000-0000-00000B000000}" name="Vorname5"/>
    <tableColumn id="16" xr3:uid="{00000000-0010-0000-0000-000010000000}" name="Einschreib5"/>
    <tableColumn id="17" xr3:uid="{00000000-0010-0000-0000-000011000000}" name="Ermäßigt5"/>
    <tableColumn id="18" xr3:uid="{00000000-0010-0000-0000-000012000000}" name="Vorname6"/>
    <tableColumn id="19" xr3:uid="{00000000-0010-0000-0000-000013000000}" name="Einschreib6"/>
    <tableColumn id="20" xr3:uid="{00000000-0010-0000-0000-000014000000}" name="Ermäßigt6"/>
  </tableColumns>
  <tableStyleInfo name="TableStyleMedium2"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image" Target="../media/image1.wmf"/><Relationship Id="rId12" Type="http://schemas.openxmlformats.org/officeDocument/2006/relationships/ctrlProp" Target="../ctrlProps/ctrlProp5.xml"/><Relationship Id="rId2" Type="http://schemas.openxmlformats.org/officeDocument/2006/relationships/hyperlink" Target="mailto:test@konto.org" TargetMode="External"/><Relationship Id="rId1" Type="http://schemas.openxmlformats.org/officeDocument/2006/relationships/hyperlink" Target="mailto:Thomas.Muster@musterhausen.at" TargetMode="External"/><Relationship Id="rId6" Type="http://schemas.openxmlformats.org/officeDocument/2006/relationships/oleObject" Target="../embeddings/oleObject1.bin"/><Relationship Id="rId11" Type="http://schemas.openxmlformats.org/officeDocument/2006/relationships/ctrlProp" Target="../ctrlProps/ctrlProp4.xml"/><Relationship Id="rId5" Type="http://schemas.openxmlformats.org/officeDocument/2006/relationships/vmlDrawing" Target="../drawings/vmlDrawing1.vml"/><Relationship Id="rId10" Type="http://schemas.openxmlformats.org/officeDocument/2006/relationships/ctrlProp" Target="../ctrlProps/ctrlProp3.xml"/><Relationship Id="rId4" Type="http://schemas.openxmlformats.org/officeDocument/2006/relationships/drawing" Target="../drawings/drawing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2" Type="http://schemas.openxmlformats.org/officeDocument/2006/relationships/hyperlink" Target="mailto:Musterbezirk@noel.gv.at" TargetMode="External"/><Relationship Id="rId1" Type="http://schemas.openxmlformats.org/officeDocument/2006/relationships/hyperlink" Target="mailto:gemeinde@musterhausen.gv.a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9"/>
  <sheetViews>
    <sheetView tabSelected="1" zoomScale="85" zoomScaleNormal="85" zoomScaleSheetLayoutView="85" workbookViewId="0">
      <selection activeCell="J1" sqref="J1"/>
    </sheetView>
  </sheetViews>
  <sheetFormatPr baseColWidth="10" defaultRowHeight="15" x14ac:dyDescent="0.25"/>
  <cols>
    <col min="1" max="1" width="33" customWidth="1"/>
    <col min="2" max="2" width="24.5703125" customWidth="1"/>
    <col min="3" max="3" width="22.5703125" customWidth="1"/>
    <col min="4" max="4" width="17.5703125" customWidth="1"/>
    <col min="5" max="5" width="18.7109375" customWidth="1"/>
    <col min="6" max="6" width="11.42578125" customWidth="1"/>
    <col min="8" max="8" width="57.42578125" customWidth="1"/>
  </cols>
  <sheetData>
    <row r="1" spans="1:10" ht="31.5" customHeight="1" x14ac:dyDescent="0.25">
      <c r="A1" s="7" t="str">
        <f>kopfname</f>
        <v>Gruppe Musterhausen</v>
      </c>
      <c r="B1" s="2"/>
      <c r="E1">
        <v>1</v>
      </c>
      <c r="H1" s="30"/>
      <c r="I1" s="30"/>
      <c r="J1" s="35" t="s">
        <v>108</v>
      </c>
    </row>
    <row r="2" spans="1:10" ht="80.25" customHeight="1" x14ac:dyDescent="0.25">
      <c r="A2" s="33" t="str">
        <f>IF(INDEX(Liste[Anrede],zeilenindex)="Familie","Familie "&amp;INDEX(Liste[Name],zeilenindex),INDEX(Liste[Anrede],zeilenindex)&amp;" "&amp;INDEX(Liste[Name],zeilenindex)&amp;" "&amp;INDEX(Liste[Vorname1],zeilenindex))</f>
        <v>Familie Muster</v>
      </c>
      <c r="B2" s="2"/>
      <c r="F2" s="11"/>
      <c r="H2" s="29" t="str">
        <f>"cmail.exe -host:"""&amp;mailuser&amp;":"&amp;mailpwd&amp;"""@mail.ipax.at:587 -from:"&amp;mailuser&amp;" -to:"&amp;recipient&amp;IF(ccrecipient&lt;&gt;""," -cc "&amp;ccrecipient,"")&amp;" -subject:"""&amp;subject&amp;""" -body:"""&amp;bodymsg&amp;""" -a:Einladung"&amp;zeilenindex&amp;".pdf -results:logfile.txt"</f>
        <v>cmail.exe -host:":"@mail.ipax.at:587 -from: -to:hinzkunz@muster.nix -cc CC Empfängeradresse -subject:"Einladung zur ordentlichen Jahresversammlung für das Arbeitsjahr 2024/25" -body:"Liebe Familie Muster,
anbei die Einladung zum Elternabend WiWö, Bilderpräsentation des vergangenen Jahres und anschließender Jahresversammlung der Pfadfindergruppe Musterhausen. Bitte um Rückmeldung, damit wir die Räumlichkeiten planen können.
mit freundlichen Grüßen,
der Elternrat der Pfadfindergruppe Musterhausen." -a:Einladung1.pdf -results:logfile.txt</v>
      </c>
      <c r="I2" t="s">
        <v>100</v>
      </c>
    </row>
    <row r="3" spans="1:10" ht="31.5" customHeight="1" x14ac:dyDescent="0.25">
      <c r="A3" s="1" t="str">
        <f>INDEX(Liste[Adresse],zeilenindex)</f>
        <v>Musterstrasse 8/15, 
4711 Musterhausen</v>
      </c>
      <c r="B3" s="2"/>
      <c r="E3" t="str">
        <f>IF(testmail="Ja",testkonto,SUBSTITUTE(INDEX(Liste[Email],zeilenindex),","," -to:"))</f>
        <v>hinzkunz@muster.nix</v>
      </c>
      <c r="H3" s="1" t="str">
        <f>anrede&amp;","&amp;CHAR(10)&amp;CHAR(10)&amp;I3&amp;CHAR(10)&amp;CHAR(10)&amp;"mit freundlichen Grüßen,"&amp;CHAR(10)&amp;"der Elternrat der Pfadfindergruppe Musterhausen."</f>
        <v>Liebe Familie Muster,
anbei die Einladung zum Elternabend WiWö, Bilderpräsentation des vergangenen Jahres und anschließender Jahresversammlung der Pfadfindergruppe Musterhausen. Bitte um Rückmeldung, damit wir die Räumlichkeiten planen können.
mit freundlichen Grüßen,
der Elternrat der Pfadfindergruppe Musterhausen.</v>
      </c>
      <c r="I3" t="str">
        <f>"anbei die Einladung zum Elternabend WiWö, Bilderpräsentation des vergangenen Jahres und anschließender Jahresversammlung der Pfadfindergruppe Musterhausen. Bitte um Rückmeldung, damit wir die Räumlichkeiten planen können."</f>
        <v>anbei die Einladung zum Elternabend WiWö, Bilderpräsentation des vergangenen Jahres und anschließender Jahresversammlung der Pfadfindergruppe Musterhausen. Bitte um Rückmeldung, damit wir die Räumlichkeiten planen können.</v>
      </c>
    </row>
    <row r="4" spans="1:10" x14ac:dyDescent="0.25">
      <c r="B4" s="2"/>
      <c r="D4" s="34" t="str">
        <f ca="1">"Musterhausen, am "&amp;TEXT(TODAY(),"tt. MMMM JJJJ")</f>
        <v>Musterhausen, am 29. November 2024</v>
      </c>
      <c r="E4" t="str">
        <f>IF(INDEX(Liste[Anrede],zeilenindex)="Herr","Lieber "&amp;INDEX(Liste[Vorname1],zeilenindex),IF(INDEX(Liste[Anrede],zeilenindex)="Frau","Liebe "&amp;INDEX(Liste[Vorname1],zeilenindex),IF(INDEX(Liste[Anrede],zeilenindex)="Familie","Liebe "&amp;INDEX(Liste[Anrede],zeilenindex)&amp;" "&amp;INDEX(Liste[Name],zeilenindex),"S.g. Damen und Herren")))</f>
        <v>Liebe Familie Muster</v>
      </c>
      <c r="H4" s="11" t="s">
        <v>81</v>
      </c>
    </row>
    <row r="5" spans="1:10" x14ac:dyDescent="0.25">
      <c r="B5" s="2"/>
    </row>
    <row r="6" spans="1:10" x14ac:dyDescent="0.25">
      <c r="A6" s="8" t="str">
        <f>kopfname&amp;", "&amp;adresse</f>
        <v>Gruppe Musterhausen, 9999 Musterhausen, Beispielplatz 1</v>
      </c>
      <c r="B6" s="2"/>
    </row>
    <row r="7" spans="1:10" x14ac:dyDescent="0.25">
      <c r="A7" s="8" t="str">
        <f>"Einladung zur ordentlichen Jahresversammlung für das Arbeitsjahr "&amp;AufnahmeJahr&amp;"/"&amp;RIGHT(AufnahmeJahr+1,2)</f>
        <v>Einladung zur ordentlichen Jahresversammlung für das Arbeitsjahr 2024/25</v>
      </c>
      <c r="B7" s="2"/>
      <c r="E7" t="s">
        <v>79</v>
      </c>
      <c r="G7" s="32" t="s">
        <v>95</v>
      </c>
    </row>
    <row r="8" spans="1:10" x14ac:dyDescent="0.25">
      <c r="B8" s="2"/>
      <c r="E8">
        <f>IF(MONTH(E9)&lt;7,YEAR(E9)-1,YEAR(E9))</f>
        <v>2024</v>
      </c>
    </row>
    <row r="9" spans="1:10" x14ac:dyDescent="0.25">
      <c r="E9" s="37">
        <v>45604</v>
      </c>
      <c r="F9" s="31">
        <v>0.75</v>
      </c>
    </row>
    <row r="10" spans="1:10" ht="33" customHeight="1" x14ac:dyDescent="0.25">
      <c r="A10" s="42" t="str">
        <f>"Unsere Jahresversammlung findet am "&amp;TEXT(E9,"tt. MMMM jjjj")&amp;" um "&amp;TEXT(F9,"hh:mm")&amp;" Uhr in unserem Pfadfinderheim in Musterhausen statt, zu der wir herzlichst einladen."</f>
        <v>Unsere Jahresversammlung findet am 08. November 2024 um 18:00 Uhr in unserem Pfadfinderheim in Musterhausen statt, zu der wir herzlichst einladen.</v>
      </c>
      <c r="B10" s="42"/>
      <c r="C10" s="42"/>
      <c r="D10" s="42"/>
      <c r="E10" s="43"/>
      <c r="F10" s="43"/>
      <c r="G10" s="43"/>
    </row>
    <row r="12" spans="1:10" x14ac:dyDescent="0.25">
      <c r="A12" t="s">
        <v>82</v>
      </c>
    </row>
    <row r="13" spans="1:10" x14ac:dyDescent="0.25">
      <c r="A13" t="s">
        <v>83</v>
      </c>
    </row>
    <row r="14" spans="1:10" x14ac:dyDescent="0.25">
      <c r="A14" t="s">
        <v>84</v>
      </c>
    </row>
    <row r="15" spans="1:10" x14ac:dyDescent="0.25">
      <c r="A15" t="s">
        <v>85</v>
      </c>
    </row>
    <row r="16" spans="1:10" x14ac:dyDescent="0.25">
      <c r="A16" t="s">
        <v>86</v>
      </c>
    </row>
    <row r="17" spans="1:6" x14ac:dyDescent="0.25">
      <c r="A17" t="s">
        <v>87</v>
      </c>
      <c r="F17" s="36"/>
    </row>
    <row r="18" spans="1:6" x14ac:dyDescent="0.25">
      <c r="A18" t="s">
        <v>89</v>
      </c>
      <c r="E18" t="s">
        <v>94</v>
      </c>
      <c r="F18" s="36">
        <v>43394</v>
      </c>
    </row>
    <row r="19" spans="1:6" x14ac:dyDescent="0.25">
      <c r="A19" t="s">
        <v>88</v>
      </c>
    </row>
    <row r="20" spans="1:6" ht="14.25" customHeight="1" x14ac:dyDescent="0.25">
      <c r="A20" t="str">
        <f>IF(MOD(YEAR(E9)-YEAR(F18),3)=0,"8. Neuwahl des Elternrats/Rechnungsprüfer_innen","8. Genehmigung der Vorschau über die voraussichtlich anfallenden Aufwendungen "&amp;AufnahmeJahr&amp;"/"&amp;RIGHT(AufnahmeJahr+1,2))</f>
        <v>8. Neuwahl des Elternrats/Rechnungsprüfer_innen</v>
      </c>
    </row>
    <row r="21" spans="1:6" ht="15.75" customHeight="1" x14ac:dyDescent="0.25">
      <c r="A21" t="str">
        <f>IF(MOD(YEAR(E9)-YEAR(F18),3)=0,"9. Genehmigung der Vorschau über die voraussichtlich anfallenden Aufwendungen "&amp;AufnahmeJahr&amp;"/"&amp;RIGHT(AufnahmeJahr+1,2),"9. Allfälliges")</f>
        <v>9. Genehmigung der Vorschau über die voraussichtlich anfallenden Aufwendungen 2024/25</v>
      </c>
      <c r="E21" s="3"/>
    </row>
    <row r="22" spans="1:6" x14ac:dyDescent="0.25">
      <c r="A22" t="str">
        <f>IF(MOD(YEAR(E9)-YEAR(F18),3)=0,"10. Allfälliges","")</f>
        <v>10. Allfälliges</v>
      </c>
    </row>
    <row r="24" spans="1:6" x14ac:dyDescent="0.25">
      <c r="A24" t="s">
        <v>97</v>
      </c>
    </row>
    <row r="25" spans="1:6" x14ac:dyDescent="0.25">
      <c r="A25" t="s">
        <v>93</v>
      </c>
    </row>
    <row r="26" spans="1:6" x14ac:dyDescent="0.25">
      <c r="A26" t="s">
        <v>98</v>
      </c>
    </row>
    <row r="28" spans="1:6" x14ac:dyDescent="0.25">
      <c r="A28" t="s">
        <v>96</v>
      </c>
    </row>
    <row r="30" spans="1:6" x14ac:dyDescent="0.25">
      <c r="A30" t="s">
        <v>91</v>
      </c>
    </row>
    <row r="31" spans="1:6" x14ac:dyDescent="0.25">
      <c r="A31" t="s">
        <v>107</v>
      </c>
    </row>
    <row r="32" spans="1:6" x14ac:dyDescent="0.25">
      <c r="A32" t="s">
        <v>90</v>
      </c>
    </row>
    <row r="33" spans="1:4" ht="19.5" customHeight="1" x14ac:dyDescent="0.25"/>
    <row r="34" spans="1:4" ht="19.5" customHeight="1" x14ac:dyDescent="0.25">
      <c r="A34" t="s">
        <v>92</v>
      </c>
      <c r="B34" s="35" t="s">
        <v>106</v>
      </c>
    </row>
    <row r="35" spans="1:4" ht="19.5" customHeight="1" x14ac:dyDescent="0.25">
      <c r="B35" s="35"/>
    </row>
    <row r="36" spans="1:4" x14ac:dyDescent="0.25">
      <c r="A36" s="5" t="s">
        <v>25</v>
      </c>
      <c r="D36" s="6" t="s">
        <v>26</v>
      </c>
    </row>
    <row r="37" spans="1:4" x14ac:dyDescent="0.25">
      <c r="A37" s="5" t="str">
        <f>adresse</f>
        <v>9999 Musterhausen, Beispielplatz 1</v>
      </c>
      <c r="D37" s="6" t="str">
        <f>bank</f>
        <v>Musterhausenbank</v>
      </c>
    </row>
    <row r="38" spans="1:4" x14ac:dyDescent="0.25">
      <c r="A38" s="5" t="str">
        <f>"ZVR-Zahl: "&amp;zvrzahl</f>
        <v>ZVR-Zahl: 123456789</v>
      </c>
      <c r="D38" s="6" t="str">
        <f>konto</f>
        <v>AT12345600000987654</v>
      </c>
    </row>
    <row r="39" spans="1:4" x14ac:dyDescent="0.25">
      <c r="A39" s="9" t="str">
        <f>www</f>
        <v>pfadfinder-musterhausen.at</v>
      </c>
      <c r="C39" s="4"/>
      <c r="D39" s="6" t="str">
        <f>"ltd. auf "&amp;lautend_auf</f>
        <v>ltd. auf PPÖ Pfadfindergruppe Musterhausen</v>
      </c>
    </row>
  </sheetData>
  <dataConsolidate/>
  <mergeCells count="2">
    <mergeCell ref="A10:D10"/>
    <mergeCell ref="E10:G10"/>
  </mergeCells>
  <dataValidations disablePrompts="1" count="1">
    <dataValidation type="list" allowBlank="1" showInputMessage="1" showErrorMessage="1" sqref="G7" xr:uid="{00000000-0002-0000-0000-000000000000}">
      <formula1>"Ja,Nein"</formula1>
    </dataValidation>
  </dataValidations>
  <hyperlinks>
    <hyperlink ref="B34" r:id="rId1" xr:uid="{41D41407-1D31-4799-9BFE-4C69DE6BC93E}"/>
    <hyperlink ref="J1" r:id="rId2" xr:uid="{9DB2B131-8C33-4E50-BCBD-093E6AA0E4D3}"/>
  </hyperlinks>
  <pageMargins left="0.7" right="0.7" top="0.78740157499999996" bottom="0.78740157499999996" header="0.3" footer="0.3"/>
  <pageSetup paperSize="9" scale="89" orientation="portrait" r:id="rId3"/>
  <drawing r:id="rId4"/>
  <legacyDrawing r:id="rId5"/>
  <oleObjects>
    <mc:AlternateContent xmlns:mc="http://schemas.openxmlformats.org/markup-compatibility/2006">
      <mc:Choice Requires="x14">
        <oleObject progId="Word.Picture.8" shapeId="1030" r:id="rId6">
          <objectPr defaultSize="0" autoPict="0" r:id="rId7">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6"/>
      </mc:Fallback>
    </mc:AlternateContent>
  </oleObjects>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9"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10"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11"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2"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24</v>
      </c>
      <c r="B2" s="2">
        <v>35</v>
      </c>
    </row>
    <row r="3" spans="1:4" x14ac:dyDescent="0.25">
      <c r="A3" t="s">
        <v>64</v>
      </c>
      <c r="B3" s="28">
        <v>2</v>
      </c>
    </row>
    <row r="4" spans="1:4" x14ac:dyDescent="0.25">
      <c r="A4" t="s">
        <v>1</v>
      </c>
      <c r="B4" s="2">
        <v>28</v>
      </c>
    </row>
    <row r="5" spans="1:4" x14ac:dyDescent="0.25">
      <c r="A5" t="s">
        <v>2</v>
      </c>
      <c r="B5" s="2">
        <v>16.5</v>
      </c>
    </row>
    <row r="6" spans="1:4" x14ac:dyDescent="0.25">
      <c r="A6" t="s">
        <v>3</v>
      </c>
      <c r="B6" s="2">
        <v>25</v>
      </c>
    </row>
    <row r="7" spans="1:4" x14ac:dyDescent="0.25">
      <c r="A7" t="s">
        <v>32</v>
      </c>
      <c r="B7" t="s">
        <v>80</v>
      </c>
    </row>
    <row r="8" spans="1:4" x14ac:dyDescent="0.25">
      <c r="A8" t="s">
        <v>4</v>
      </c>
      <c r="B8" t="s">
        <v>43</v>
      </c>
    </row>
    <row r="9" spans="1:4" x14ac:dyDescent="0.25">
      <c r="A9" t="s">
        <v>5</v>
      </c>
      <c r="B9" t="s">
        <v>44</v>
      </c>
      <c r="D9" s="26"/>
    </row>
    <row r="10" spans="1:4" x14ac:dyDescent="0.25">
      <c r="A10" t="s">
        <v>14</v>
      </c>
      <c r="B10" t="s">
        <v>45</v>
      </c>
    </row>
    <row r="11" spans="1:4" x14ac:dyDescent="0.25">
      <c r="A11" t="s">
        <v>29</v>
      </c>
      <c r="B11" t="s">
        <v>46</v>
      </c>
    </row>
    <row r="12" spans="1:4" x14ac:dyDescent="0.25">
      <c r="A12" t="s">
        <v>30</v>
      </c>
      <c r="B12">
        <v>123456789</v>
      </c>
    </row>
    <row r="13" spans="1:4" x14ac:dyDescent="0.25">
      <c r="A13" t="s">
        <v>31</v>
      </c>
      <c r="B13" t="s">
        <v>47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C64"/>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33.140625" customWidth="1"/>
    <col min="5" max="5" width="29.5703125" customWidth="1"/>
    <col min="6" max="6" width="9.28515625" customWidth="1" collapsed="1"/>
    <col min="7" max="7" width="4" hidden="1" customWidth="1" outlineLevel="1"/>
    <col min="8" max="8" width="4.7109375" hidden="1" customWidth="1" outlineLevel="1"/>
    <col min="9" max="9" width="9.5703125" customWidth="1" collapsed="1"/>
    <col min="10" max="10" width="4" hidden="1" customWidth="1" outlineLevel="1"/>
    <col min="11" max="11" width="5.140625" hidden="1" customWidth="1" outlineLevel="1"/>
    <col min="12" max="12" width="10.140625" customWidth="1" collapsed="1"/>
    <col min="13" max="14" width="4" hidden="1" customWidth="1" outlineLevel="1"/>
    <col min="15" max="15" width="9.85546875" customWidth="1" collapsed="1"/>
    <col min="16" max="16" width="4" hidden="1" customWidth="1" outlineLevel="1"/>
    <col min="17" max="17" width="4.5703125" hidden="1" customWidth="1" outlineLevel="1"/>
    <col min="18" max="18" width="10" customWidth="1" collapsed="1"/>
    <col min="19" max="19" width="4" hidden="1" customWidth="1" outlineLevel="1"/>
    <col min="20" max="20" width="4.140625" hidden="1" customWidth="1" outlineLevel="1"/>
    <col min="21" max="21" width="10.28515625" customWidth="1" collapsed="1"/>
    <col min="22" max="23" width="6.28515625" hidden="1" customWidth="1" outlineLevel="1"/>
    <col min="24" max="24" width="7" customWidth="1"/>
    <col min="25" max="25" width="13.85546875" customWidth="1"/>
    <col min="26" max="26" width="14.28515625" customWidth="1"/>
  </cols>
  <sheetData>
    <row r="1" spans="1:29" x14ac:dyDescent="0.25">
      <c r="A1" t="s">
        <v>11</v>
      </c>
      <c r="B1" t="s">
        <v>6</v>
      </c>
      <c r="C1" t="s">
        <v>67</v>
      </c>
      <c r="D1" t="s">
        <v>66</v>
      </c>
      <c r="E1" t="s">
        <v>48</v>
      </c>
      <c r="F1" s="12" t="s">
        <v>15</v>
      </c>
      <c r="G1" s="13" t="s">
        <v>7</v>
      </c>
      <c r="H1" s="14" t="s">
        <v>20</v>
      </c>
      <c r="I1" t="s">
        <v>16</v>
      </c>
      <c r="J1" t="s">
        <v>8</v>
      </c>
      <c r="K1" t="s">
        <v>21</v>
      </c>
      <c r="L1" s="12" t="s">
        <v>17</v>
      </c>
      <c r="M1" s="13" t="s">
        <v>9</v>
      </c>
      <c r="N1" s="14" t="s">
        <v>22</v>
      </c>
      <c r="O1" s="12" t="s">
        <v>18</v>
      </c>
      <c r="P1" s="13" t="s">
        <v>10</v>
      </c>
      <c r="Q1" s="14" t="s">
        <v>23</v>
      </c>
      <c r="R1" s="12" t="s">
        <v>33</v>
      </c>
      <c r="S1" s="13" t="s">
        <v>34</v>
      </c>
      <c r="T1" s="14" t="s">
        <v>35</v>
      </c>
      <c r="U1" s="12" t="s">
        <v>36</v>
      </c>
      <c r="V1" s="13" t="s">
        <v>37</v>
      </c>
      <c r="W1" s="14" t="s">
        <v>38</v>
      </c>
      <c r="Y1" s="3"/>
      <c r="AA1" s="10" t="s">
        <v>99</v>
      </c>
    </row>
    <row r="2" spans="1:29" ht="13.5" customHeight="1" x14ac:dyDescent="0.25">
      <c r="A2" s="15" t="s">
        <v>12</v>
      </c>
      <c r="B2" s="16" t="s">
        <v>40</v>
      </c>
      <c r="C2" s="16" t="s">
        <v>68</v>
      </c>
      <c r="D2" t="s">
        <v>73</v>
      </c>
      <c r="E2" s="27" t="s">
        <v>59</v>
      </c>
      <c r="F2" s="17" t="s">
        <v>54</v>
      </c>
      <c r="G2" s="16" t="s">
        <v>28</v>
      </c>
      <c r="H2" s="18"/>
      <c r="I2" s="17" t="s">
        <v>55</v>
      </c>
      <c r="J2" s="19" t="s">
        <v>28</v>
      </c>
      <c r="K2" s="19"/>
      <c r="L2" s="17"/>
      <c r="M2" s="16"/>
      <c r="N2" s="18"/>
      <c r="O2" s="17"/>
      <c r="P2" s="16"/>
      <c r="Q2" s="18"/>
      <c r="R2" s="17"/>
      <c r="S2" s="16"/>
      <c r="T2" s="18"/>
      <c r="U2" s="16"/>
      <c r="V2" s="16"/>
      <c r="W2" s="20"/>
    </row>
    <row r="3" spans="1:29" ht="13.5" customHeight="1" x14ac:dyDescent="0.25">
      <c r="A3" s="21" t="s">
        <v>13</v>
      </c>
      <c r="B3" s="22" t="s">
        <v>41</v>
      </c>
      <c r="C3" s="22" t="s">
        <v>69</v>
      </c>
      <c r="D3" t="s">
        <v>74</v>
      </c>
      <c r="E3" s="27" t="s">
        <v>60</v>
      </c>
      <c r="F3" s="23" t="s">
        <v>50</v>
      </c>
      <c r="G3" s="22"/>
      <c r="H3" s="24" t="s">
        <v>27</v>
      </c>
      <c r="I3" s="23"/>
      <c r="J3" s="22"/>
      <c r="K3" s="22"/>
      <c r="L3" s="23"/>
      <c r="M3" s="22"/>
      <c r="N3" s="24"/>
      <c r="O3" s="23"/>
      <c r="P3" s="22"/>
      <c r="Q3" s="24"/>
      <c r="R3" s="23"/>
      <c r="S3" s="22"/>
      <c r="T3" s="24"/>
      <c r="U3" s="22"/>
      <c r="V3" s="22"/>
      <c r="W3" s="25"/>
    </row>
    <row r="4" spans="1:29" ht="13.5" customHeight="1" x14ac:dyDescent="0.25">
      <c r="A4" s="15" t="s">
        <v>19</v>
      </c>
      <c r="B4" s="16" t="s">
        <v>42</v>
      </c>
      <c r="C4" s="16" t="s">
        <v>70</v>
      </c>
      <c r="D4" t="s">
        <v>75</v>
      </c>
      <c r="E4" s="27" t="s">
        <v>61</v>
      </c>
      <c r="F4" s="17" t="s">
        <v>51</v>
      </c>
      <c r="G4" s="16"/>
      <c r="H4" s="18" t="s">
        <v>27</v>
      </c>
      <c r="I4" s="17"/>
      <c r="J4" s="16"/>
      <c r="K4" s="16"/>
      <c r="L4" s="17"/>
      <c r="M4" s="16"/>
      <c r="N4" s="18"/>
      <c r="O4" s="17"/>
      <c r="P4" s="16"/>
      <c r="Q4" s="18"/>
      <c r="R4" s="17"/>
      <c r="S4" s="16"/>
      <c r="T4" s="18"/>
      <c r="U4" s="16"/>
      <c r="V4" s="16"/>
      <c r="W4" s="20"/>
    </row>
    <row r="5" spans="1:29" ht="13.5" customHeight="1" x14ac:dyDescent="0.25">
      <c r="A5" s="21" t="s">
        <v>12</v>
      </c>
      <c r="B5" s="22" t="s">
        <v>58</v>
      </c>
      <c r="C5" s="22" t="s">
        <v>71</v>
      </c>
      <c r="D5" t="s">
        <v>77</v>
      </c>
      <c r="E5" s="27" t="s">
        <v>62</v>
      </c>
      <c r="F5" s="23" t="s">
        <v>52</v>
      </c>
      <c r="G5" s="22"/>
      <c r="H5" s="24" t="s">
        <v>27</v>
      </c>
      <c r="I5" s="23" t="s">
        <v>53</v>
      </c>
      <c r="J5" s="22"/>
      <c r="K5" s="22"/>
      <c r="L5" s="23"/>
      <c r="M5" s="22"/>
      <c r="N5" s="24"/>
      <c r="O5" s="23"/>
      <c r="P5" s="22"/>
      <c r="Q5" s="24"/>
      <c r="R5" s="23"/>
      <c r="S5" s="22"/>
      <c r="T5" s="24"/>
      <c r="U5" s="22"/>
      <c r="V5" s="22"/>
      <c r="W5" s="25"/>
      <c r="Y5" t="s">
        <v>49</v>
      </c>
    </row>
    <row r="6" spans="1:29" ht="13.5" customHeight="1" x14ac:dyDescent="0.25">
      <c r="A6" s="15" t="s">
        <v>12</v>
      </c>
      <c r="B6" s="16" t="s">
        <v>56</v>
      </c>
      <c r="C6" s="16" t="s">
        <v>72</v>
      </c>
      <c r="D6" t="s">
        <v>76</v>
      </c>
      <c r="E6" s="27" t="s">
        <v>63</v>
      </c>
      <c r="F6" s="17" t="s">
        <v>57</v>
      </c>
      <c r="G6" s="16"/>
      <c r="H6" s="18"/>
      <c r="I6" s="17"/>
      <c r="J6" s="16"/>
      <c r="K6" s="16"/>
      <c r="L6" s="17"/>
      <c r="M6" s="16"/>
      <c r="N6" s="18"/>
      <c r="O6" s="17"/>
      <c r="P6" s="16"/>
      <c r="Q6" s="18"/>
      <c r="R6" s="17"/>
      <c r="S6" s="16"/>
      <c r="T6" s="18"/>
      <c r="U6" s="16"/>
      <c r="V6" s="16"/>
      <c r="W6" s="20"/>
      <c r="Y6" s="10" t="s">
        <v>65</v>
      </c>
    </row>
    <row r="7" spans="1:29" ht="13.5" customHeight="1" x14ac:dyDescent="0.25">
      <c r="E7" s="1"/>
    </row>
    <row r="8" spans="1:29" ht="13.5" customHeight="1" x14ac:dyDescent="0.25">
      <c r="E8" s="1"/>
    </row>
    <row r="9" spans="1:29" ht="13.5" customHeight="1" x14ac:dyDescent="0.25">
      <c r="E9" s="1"/>
      <c r="Y9" t="s">
        <v>39</v>
      </c>
      <c r="AC9" s="3"/>
    </row>
    <row r="10" spans="1:29" ht="13.5" customHeight="1" x14ac:dyDescent="0.25">
      <c r="E10" s="1"/>
    </row>
    <row r="11" spans="1:29" ht="13.5" customHeight="1" x14ac:dyDescent="0.25">
      <c r="E11" s="1"/>
    </row>
    <row r="12" spans="1:29" ht="13.5" customHeight="1" x14ac:dyDescent="0.25">
      <c r="E12" s="1"/>
    </row>
    <row r="13" spans="1:29" ht="13.5" customHeight="1" x14ac:dyDescent="0.25">
      <c r="E13" s="1"/>
    </row>
    <row r="14" spans="1:29" ht="13.5" customHeight="1" x14ac:dyDescent="0.25">
      <c r="E14" s="1"/>
    </row>
    <row r="15" spans="1:29" ht="13.5" customHeight="1" x14ac:dyDescent="0.25">
      <c r="E15" s="1"/>
    </row>
    <row r="16" spans="1:29" ht="13.5" customHeight="1" x14ac:dyDescent="0.25">
      <c r="E16" s="1"/>
    </row>
    <row r="17" spans="5:5" ht="13.5" customHeight="1" x14ac:dyDescent="0.25">
      <c r="E17" s="1"/>
    </row>
    <row r="18" spans="5:5" ht="13.5" customHeight="1" x14ac:dyDescent="0.25">
      <c r="E18" s="1"/>
    </row>
    <row r="19" spans="5:5" ht="13.5" customHeight="1" x14ac:dyDescent="0.25">
      <c r="E19" s="1"/>
    </row>
    <row r="20" spans="5:5" ht="13.5" customHeight="1" x14ac:dyDescent="0.25">
      <c r="E20" s="1"/>
    </row>
    <row r="21" spans="5:5" ht="13.5" customHeight="1" x14ac:dyDescent="0.25">
      <c r="E21" s="1"/>
    </row>
    <row r="22" spans="5:5" ht="13.5" customHeight="1" x14ac:dyDescent="0.25">
      <c r="E22" s="1"/>
    </row>
    <row r="23" spans="5:5" ht="13.5" customHeight="1" x14ac:dyDescent="0.25">
      <c r="E23" s="1"/>
    </row>
    <row r="24" spans="5:5" ht="13.5" customHeight="1" x14ac:dyDescent="0.25">
      <c r="E24" s="1"/>
    </row>
    <row r="25" spans="5:5" ht="13.5" customHeight="1" x14ac:dyDescent="0.25">
      <c r="E25" s="1"/>
    </row>
    <row r="26" spans="5:5" ht="13.5" customHeight="1" x14ac:dyDescent="0.25">
      <c r="E26" s="1"/>
    </row>
    <row r="27" spans="5:5" ht="13.5" customHeight="1" x14ac:dyDescent="0.25">
      <c r="E27" s="1"/>
    </row>
    <row r="28" spans="5:5" ht="13.5" customHeight="1" x14ac:dyDescent="0.25">
      <c r="E28" s="1"/>
    </row>
    <row r="29" spans="5:5" ht="13.5" customHeight="1" x14ac:dyDescent="0.25">
      <c r="E29" s="1"/>
    </row>
    <row r="30" spans="5:5" ht="13.5" customHeight="1" x14ac:dyDescent="0.25">
      <c r="E30" s="1"/>
    </row>
    <row r="31" spans="5:5" ht="13.5" customHeight="1" x14ac:dyDescent="0.25">
      <c r="E31" s="1"/>
    </row>
    <row r="32" spans="5:5" ht="13.5" customHeight="1" x14ac:dyDescent="0.25">
      <c r="E32" s="1"/>
    </row>
    <row r="33" spans="5:5" ht="13.5" customHeight="1" x14ac:dyDescent="0.25">
      <c r="E33" s="1"/>
    </row>
    <row r="34" spans="5:5" ht="13.5" customHeight="1" x14ac:dyDescent="0.25">
      <c r="E34" s="1"/>
    </row>
    <row r="35" spans="5:5" ht="13.5" customHeight="1" x14ac:dyDescent="0.25">
      <c r="E35" s="1"/>
    </row>
    <row r="36" spans="5:5" ht="13.5" customHeight="1" x14ac:dyDescent="0.25">
      <c r="E36" s="1"/>
    </row>
    <row r="37" spans="5:5" ht="13.5" customHeight="1" x14ac:dyDescent="0.25">
      <c r="E37" s="1"/>
    </row>
    <row r="38" spans="5:5" ht="13.5" customHeight="1" x14ac:dyDescent="0.25">
      <c r="E38" s="1"/>
    </row>
    <row r="39" spans="5:5" ht="13.5" customHeight="1" x14ac:dyDescent="0.25">
      <c r="E39" s="1"/>
    </row>
    <row r="40" spans="5:5" ht="13.5" customHeight="1" x14ac:dyDescent="0.25">
      <c r="E40" s="1"/>
    </row>
    <row r="41" spans="5:5" ht="13.5" customHeight="1" x14ac:dyDescent="0.25">
      <c r="E41" s="1"/>
    </row>
    <row r="42" spans="5:5" ht="13.5" customHeight="1" x14ac:dyDescent="0.25">
      <c r="E42" s="1"/>
    </row>
    <row r="43" spans="5:5" ht="13.5" customHeight="1" x14ac:dyDescent="0.25">
      <c r="E43" s="1"/>
    </row>
    <row r="44" spans="5:5" ht="13.5" customHeight="1" x14ac:dyDescent="0.25">
      <c r="E44" s="1"/>
    </row>
    <row r="45" spans="5:5" ht="13.5" customHeight="1" x14ac:dyDescent="0.25">
      <c r="E45" s="1"/>
    </row>
    <row r="46" spans="5:5" ht="13.5" customHeight="1" x14ac:dyDescent="0.25">
      <c r="E46" s="1"/>
    </row>
    <row r="47" spans="5:5" ht="13.5" customHeight="1" x14ac:dyDescent="0.25">
      <c r="E47" s="1"/>
    </row>
    <row r="48" spans="5:5" ht="13.5" customHeight="1" x14ac:dyDescent="0.25">
      <c r="E48" s="1"/>
    </row>
    <row r="49" spans="1:5" ht="13.5" customHeight="1" x14ac:dyDescent="0.25">
      <c r="E49" s="1"/>
    </row>
    <row r="50" spans="1:5" ht="13.5" customHeight="1" x14ac:dyDescent="0.25">
      <c r="E50" s="1"/>
    </row>
    <row r="51" spans="1:5" ht="13.5" customHeight="1" x14ac:dyDescent="0.25">
      <c r="E51" s="1"/>
    </row>
    <row r="52" spans="1:5" ht="13.5" customHeight="1" x14ac:dyDescent="0.25">
      <c r="E52" s="1"/>
    </row>
    <row r="53" spans="1:5" ht="13.5" customHeight="1" x14ac:dyDescent="0.25">
      <c r="E53" s="1"/>
    </row>
    <row r="54" spans="1:5" ht="13.5" customHeight="1" x14ac:dyDescent="0.25">
      <c r="E54" s="1"/>
    </row>
    <row r="55" spans="1:5" ht="13.5" customHeight="1" x14ac:dyDescent="0.25">
      <c r="E55" s="1"/>
    </row>
    <row r="56" spans="1:5" ht="13.5" customHeight="1" x14ac:dyDescent="0.25">
      <c r="E56" s="1"/>
    </row>
    <row r="57" spans="1:5" ht="13.5" customHeight="1" x14ac:dyDescent="0.25">
      <c r="E57" s="1"/>
    </row>
    <row r="58" spans="1:5" ht="13.5" customHeight="1" x14ac:dyDescent="0.25">
      <c r="E58" s="1"/>
    </row>
    <row r="59" spans="1:5" ht="13.5" customHeight="1" x14ac:dyDescent="0.25">
      <c r="E59" s="1"/>
    </row>
    <row r="60" spans="1:5" ht="13.5" customHeight="1" x14ac:dyDescent="0.25">
      <c r="E60" s="1"/>
    </row>
    <row r="61" spans="1:5" ht="13.5" customHeight="1" x14ac:dyDescent="0.25">
      <c r="E61" s="1"/>
    </row>
    <row r="62" spans="1:5" x14ac:dyDescent="0.25">
      <c r="E62" s="1"/>
    </row>
    <row r="63" spans="1:5" x14ac:dyDescent="0.25">
      <c r="A63" s="21"/>
      <c r="B63" s="22"/>
      <c r="C63" s="22"/>
      <c r="D63" s="22"/>
      <c r="E63" s="22"/>
    </row>
    <row r="64" spans="1:5" x14ac:dyDescent="0.25">
      <c r="A64" s="38"/>
      <c r="B64" s="39"/>
      <c r="C64" s="39"/>
      <c r="D64" s="39"/>
      <c r="E64" s="39"/>
    </row>
  </sheetData>
  <dataValidations count="1">
    <dataValidation type="list" allowBlank="1" showInputMessage="1" showErrorMessage="1" sqref="Y6"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9525</xdr:colOff>
                    <xdr:row>0</xdr:row>
                    <xdr:rowOff>0</xdr:rowOff>
                  </from>
                  <to>
                    <xdr:col>26</xdr:col>
                    <xdr:colOff>19050</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24</xdr:col>
                    <xdr:colOff>28575</xdr:colOff>
                    <xdr:row>6</xdr:row>
                    <xdr:rowOff>161925</xdr:rowOff>
                  </from>
                  <to>
                    <xdr:col>26</xdr:col>
                    <xdr:colOff>171450</xdr:colOff>
                    <xdr:row>7</xdr:row>
                    <xdr:rowOff>161925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9EBAE-7B03-430E-B94C-6B8CD97BE031}">
  <sheetPr codeName="Tabelle4"/>
  <dimension ref="A1:E2"/>
  <sheetViews>
    <sheetView workbookViewId="0">
      <selection activeCell="E9" sqref="E9"/>
    </sheetView>
  </sheetViews>
  <sheetFormatPr baseColWidth="10" defaultRowHeight="15" x14ac:dyDescent="0.25"/>
  <sheetData>
    <row r="1" spans="1:5" x14ac:dyDescent="0.25">
      <c r="A1" s="21" t="s">
        <v>104</v>
      </c>
      <c r="B1" s="22"/>
      <c r="C1" s="22"/>
      <c r="D1" s="41" t="s">
        <v>105</v>
      </c>
      <c r="E1" s="16" t="s">
        <v>103</v>
      </c>
    </row>
    <row r="2" spans="1:5" x14ac:dyDescent="0.25">
      <c r="A2" s="15" t="s">
        <v>101</v>
      </c>
      <c r="B2" s="16"/>
      <c r="C2" s="16"/>
      <c r="D2" s="40" t="s">
        <v>102</v>
      </c>
      <c r="E2" s="16" t="s">
        <v>103</v>
      </c>
    </row>
  </sheetData>
  <hyperlinks>
    <hyperlink ref="D2" r:id="rId1" xr:uid="{8362B054-C293-480A-A7C9-0484F252E6DC}"/>
    <hyperlink ref="D1" r:id="rId2" xr:uid="{FA0D3B44-5203-4850-A7FE-14DD8006A6E2}"/>
  </hyperlink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B7" sqref="B7"/>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5" t="s">
        <v>12</v>
      </c>
      <c r="E1" s="16" t="s">
        <v>40</v>
      </c>
      <c r="F1" s="16" t="s">
        <v>68</v>
      </c>
      <c r="G1" t="s">
        <v>73</v>
      </c>
      <c r="H1" s="27" t="s">
        <v>59</v>
      </c>
      <c r="I1" s="17" t="s">
        <v>54</v>
      </c>
      <c r="J1" s="16" t="s">
        <v>28</v>
      </c>
      <c r="K1" s="18"/>
      <c r="L1" s="17" t="s">
        <v>55</v>
      </c>
      <c r="M1" s="19" t="s">
        <v>28</v>
      </c>
      <c r="N1" s="19"/>
      <c r="O1" s="17"/>
      <c r="P1" s="16"/>
      <c r="Q1" s="18"/>
      <c r="R1" s="17"/>
      <c r="S1" s="16"/>
      <c r="T1" s="18"/>
      <c r="U1" s="17"/>
      <c r="V1" s="16"/>
      <c r="W1" s="18"/>
      <c r="X1" s="16"/>
      <c r="Y1" s="16"/>
      <c r="Z1" s="20"/>
    </row>
    <row r="2" spans="1:26" ht="15" customHeight="1" x14ac:dyDescent="0.25">
      <c r="A2" t="s">
        <v>24</v>
      </c>
      <c r="B2" s="2">
        <v>35</v>
      </c>
      <c r="D2" s="21" t="s">
        <v>13</v>
      </c>
      <c r="E2" s="22" t="s">
        <v>41</v>
      </c>
      <c r="F2" s="22" t="s">
        <v>69</v>
      </c>
      <c r="G2" t="s">
        <v>74</v>
      </c>
      <c r="H2" s="27" t="s">
        <v>60</v>
      </c>
      <c r="I2" s="23" t="s">
        <v>50</v>
      </c>
      <c r="J2" s="22"/>
      <c r="K2" s="24" t="s">
        <v>27</v>
      </c>
      <c r="L2" s="23"/>
      <c r="M2" s="22"/>
      <c r="N2" s="22"/>
      <c r="O2" s="23"/>
      <c r="P2" s="22"/>
      <c r="Q2" s="24"/>
      <c r="R2" s="23"/>
      <c r="S2" s="22"/>
      <c r="T2" s="24"/>
      <c r="U2" s="23"/>
      <c r="V2" s="22"/>
      <c r="W2" s="24"/>
      <c r="X2" s="22"/>
      <c r="Y2" s="22"/>
      <c r="Z2" s="25"/>
    </row>
    <row r="3" spans="1:26" ht="15" customHeight="1" x14ac:dyDescent="0.25">
      <c r="A3" t="s">
        <v>64</v>
      </c>
      <c r="B3" s="28">
        <v>2</v>
      </c>
      <c r="D3" s="15" t="s">
        <v>19</v>
      </c>
      <c r="E3" s="16" t="s">
        <v>42</v>
      </c>
      <c r="F3" s="16" t="s">
        <v>70</v>
      </c>
      <c r="G3" t="s">
        <v>75</v>
      </c>
      <c r="H3" s="27" t="s">
        <v>61</v>
      </c>
      <c r="I3" s="17" t="s">
        <v>51</v>
      </c>
      <c r="J3" s="16"/>
      <c r="K3" s="18" t="s">
        <v>27</v>
      </c>
      <c r="L3" s="17"/>
      <c r="M3" s="16"/>
      <c r="N3" s="16"/>
      <c r="O3" s="17"/>
      <c r="P3" s="16"/>
      <c r="Q3" s="18"/>
      <c r="R3" s="17"/>
      <c r="S3" s="16"/>
      <c r="T3" s="18"/>
      <c r="U3" s="17"/>
      <c r="V3" s="16"/>
      <c r="W3" s="18"/>
      <c r="X3" s="16"/>
      <c r="Y3" s="16"/>
      <c r="Z3" s="20"/>
    </row>
    <row r="4" spans="1:26" ht="15" customHeight="1" x14ac:dyDescent="0.25">
      <c r="A4" t="s">
        <v>1</v>
      </c>
      <c r="B4" s="2">
        <v>28</v>
      </c>
      <c r="D4" s="21" t="s">
        <v>12</v>
      </c>
      <c r="E4" s="22" t="s">
        <v>58</v>
      </c>
      <c r="F4" s="22" t="s">
        <v>71</v>
      </c>
      <c r="G4" t="s">
        <v>77</v>
      </c>
      <c r="H4" s="27" t="s">
        <v>62</v>
      </c>
      <c r="I4" s="23" t="s">
        <v>52</v>
      </c>
      <c r="J4" s="22"/>
      <c r="K4" s="24" t="s">
        <v>27</v>
      </c>
      <c r="L4" s="23" t="s">
        <v>53</v>
      </c>
      <c r="M4" s="22"/>
      <c r="N4" s="22"/>
      <c r="O4" s="23"/>
      <c r="P4" s="22"/>
      <c r="Q4" s="24"/>
      <c r="R4" s="23"/>
      <c r="S4" s="22"/>
      <c r="T4" s="24"/>
      <c r="U4" s="23"/>
      <c r="V4" s="22"/>
      <c r="W4" s="24"/>
      <c r="X4" s="22"/>
      <c r="Y4" s="22"/>
      <c r="Z4" s="25"/>
    </row>
    <row r="5" spans="1:26" ht="15" customHeight="1" x14ac:dyDescent="0.25">
      <c r="A5" t="s">
        <v>2</v>
      </c>
      <c r="B5" s="2">
        <v>16.5</v>
      </c>
      <c r="D5" s="15" t="s">
        <v>12</v>
      </c>
      <c r="E5" s="16" t="s">
        <v>56</v>
      </c>
      <c r="F5" s="16" t="s">
        <v>72</v>
      </c>
      <c r="G5" t="s">
        <v>76</v>
      </c>
      <c r="H5" s="27" t="s">
        <v>63</v>
      </c>
      <c r="I5" s="17" t="s">
        <v>57</v>
      </c>
      <c r="J5" s="16"/>
      <c r="K5" s="18"/>
      <c r="L5" s="17"/>
      <c r="M5" s="16"/>
      <c r="N5" s="16"/>
      <c r="O5" s="17"/>
      <c r="P5" s="16"/>
      <c r="Q5" s="18"/>
      <c r="R5" s="17"/>
      <c r="S5" s="16"/>
      <c r="T5" s="18"/>
      <c r="U5" s="17"/>
      <c r="V5" s="16"/>
      <c r="W5" s="18"/>
      <c r="X5" s="16"/>
      <c r="Y5" s="16"/>
      <c r="Z5" s="20"/>
    </row>
    <row r="6" spans="1:26" ht="15" customHeight="1" x14ac:dyDescent="0.25">
      <c r="A6" t="s">
        <v>3</v>
      </c>
      <c r="B6" s="2">
        <v>25</v>
      </c>
    </row>
    <row r="7" spans="1:26" ht="15" customHeight="1" x14ac:dyDescent="0.25">
      <c r="A7" t="s">
        <v>78</v>
      </c>
      <c r="B7" t="s">
        <v>80</v>
      </c>
    </row>
    <row r="8" spans="1:26" ht="15" customHeight="1" x14ac:dyDescent="0.25">
      <c r="A8" t="s">
        <v>4</v>
      </c>
      <c r="B8" t="s">
        <v>43</v>
      </c>
    </row>
    <row r="9" spans="1:26" ht="15" customHeight="1" x14ac:dyDescent="0.25">
      <c r="A9" t="s">
        <v>5</v>
      </c>
      <c r="B9" t="s">
        <v>44</v>
      </c>
    </row>
    <row r="10" spans="1:26" ht="15" customHeight="1" x14ac:dyDescent="0.25">
      <c r="A10" t="s">
        <v>14</v>
      </c>
      <c r="B10" t="s">
        <v>45</v>
      </c>
    </row>
    <row r="11" spans="1:26" ht="15" customHeight="1" x14ac:dyDescent="0.25">
      <c r="A11" t="s">
        <v>29</v>
      </c>
      <c r="B11" t="s">
        <v>46</v>
      </c>
    </row>
    <row r="12" spans="1:26" ht="15" customHeight="1" x14ac:dyDescent="0.25">
      <c r="A12" t="s">
        <v>30</v>
      </c>
      <c r="B12">
        <v>123456789</v>
      </c>
    </row>
    <row r="13" spans="1:26" ht="15" customHeight="1" x14ac:dyDescent="0.25">
      <c r="A13" t="s">
        <v>31</v>
      </c>
      <c r="B13" t="s">
        <v>47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27</vt:i4>
      </vt:variant>
    </vt:vector>
  </HeadingPairs>
  <TitlesOfParts>
    <vt:vector size="32" baseType="lpstr">
      <vt:lpstr>Brief</vt:lpstr>
      <vt:lpstr>Parameter</vt:lpstr>
      <vt:lpstr>Liste</vt:lpstr>
      <vt:lpstr>ExtraAdressen</vt:lpstr>
      <vt:lpstr>Beispiel</vt:lpstr>
      <vt:lpstr>adresse</vt:lpstr>
      <vt:lpstr>anrede</vt:lpstr>
      <vt:lpstr>AufnahmeJahr</vt:lpstr>
      <vt:lpstr>bank</vt:lpstr>
      <vt:lpstr>bodymsg</vt:lpstr>
      <vt:lpstr>ccrecipient</vt:lpstr>
      <vt:lpstr>Brief!Druckbereich</vt:lpstr>
      <vt:lpstr>Erinnerung</vt:lpstr>
      <vt:lpstr>ermässigt</vt:lpstr>
      <vt:lpstr>exportfile</vt:lpstr>
      <vt:lpstr>gitOrdner</vt:lpstr>
      <vt:lpstr>GruppierenNach</vt:lpstr>
      <vt:lpstr>konto</vt:lpstr>
      <vt:lpstr>kopfname</vt:lpstr>
      <vt:lpstr>lautend_auf</vt:lpstr>
      <vt:lpstr>mailcmd</vt:lpstr>
      <vt:lpstr>mailpwd</vt:lpstr>
      <vt:lpstr>mailuser</vt:lpstr>
      <vt:lpstr>pfadis</vt:lpstr>
      <vt:lpstr>recipient</vt:lpstr>
      <vt:lpstr>referenz</vt:lpstr>
      <vt:lpstr>subject</vt:lpstr>
      <vt:lpstr>testkonto</vt:lpstr>
      <vt:lpstr>testmail</vt:lpstr>
      <vt:lpstr>www</vt:lpstr>
      <vt:lpstr>zeilenindex</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2024-10-25T19:09:54Z</cp:lastPrinted>
  <dcterms:created xsi:type="dcterms:W3CDTF">2018-11-03T22:12:52Z</dcterms:created>
  <dcterms:modified xsi:type="dcterms:W3CDTF">2024-11-29T18:20:48Z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